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Dashboard" sheetId="3" state="visible" r:id="rId5"/>
    <sheet name="Data Cleaning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<sst xmlns="http://schemas.openxmlformats.org/spreadsheetml/2006/main" count="5810" uniqueCount="1876">
  <si>
    <t xml:space="preserve">Anvik Trail Co. — Sales Performance Dashboard</t>
  </si>
  <si>
    <t xml:space="preserve">Interactive Excel dashboard built entirely with formulas — no Power Query, no macros, no add-ins.</t>
  </si>
  <si>
    <t xml:space="preserve">What's here</t>
  </si>
  <si>
    <t xml:space="preserve">Raw Data — the messy source export (785 usable order rows), left completely untouched, plus</t>
  </si>
  <si>
    <t xml:space="preserve">  formula-driven cleaning columns (J:Q) that trim whitespace, standardize casing, parse dates from</t>
  </si>
  <si>
    <t xml:space="preserve">  3 different formats, strip "$" from prices, and flag duplicate or invalid rows.</t>
  </si>
  <si>
    <t xml:space="preserve">Dashboard — filter cells (Region / Category / Channel / Date range) drive every KPI card, summary</t>
  </si>
  <si>
    <t xml:space="preserve">  table, and chart on the sheet through SUMIFS formulas keyed off the cleaning flags.</t>
  </si>
  <si>
    <t xml:space="preserve">Data Cleaning Log — a formula-based tally of exactly what was wrong with the raw export and how</t>
  </si>
  <si>
    <t xml:space="preserve">  many rows each issue affected.</t>
  </si>
  <si>
    <t xml:space="preserve">How to use it</t>
  </si>
  <si>
    <t xml:space="preserve">Change any yellow cell on the Dashboard sheet (Region, Category, Channel, or date range) and every</t>
  </si>
  <si>
    <t xml:space="preserve">  KPI, table, and chart recalculates immediately.</t>
  </si>
  <si>
    <t xml:space="preserve">“All” in a dropdown means that filter is not applied.</t>
  </si>
  <si>
    <t xml:space="preserve">Design note: why dropdowns instead of native Slicers</t>
  </si>
  <si>
    <t xml:space="preserve">Native Excel Slicers require a PivotTable connected to the Data Model, which has to be assembled</t>
  </si>
  <si>
    <t xml:space="preserve">  inside Excel itself — it isn't something that travels reliably in a file built programmatically.</t>
  </si>
  <si>
    <t xml:space="preserve">  This dashboard uses data-validation dropdown cells wired to SUMIFS formulas instead, which gives</t>
  </si>
  <si>
    <t xml:space="preserve">  the same filter-and-recalculate experience and works identically in Excel, LibreOffice, and Google</t>
  </si>
  <si>
    <t xml:space="preserve">  Sheets. If opening in Excel, you can select the data and insert a real PivotTable/Slicer in a</t>
  </si>
  <si>
    <t xml:space="preserve">  couple of clicks if you'd prefer that specific UI element.</t>
  </si>
  <si>
    <t xml:space="preserve">Cell color legend</t>
  </si>
  <si>
    <t xml:space="preserve">Yellow fill = editable input (dropdown filters, date range)</t>
  </si>
  <si>
    <t xml:space="preserve">Black text = formula — no need to edit</t>
  </si>
  <si>
    <t xml:space="preserve">Light red row highlight on Raw Data = a row flagged invalid or duplicate by the cleaning logic</t>
  </si>
  <si>
    <t xml:space="preserve">OrderID</t>
  </si>
  <si>
    <t xml:space="preserve">OrderDate (raw)</t>
  </si>
  <si>
    <t xml:space="preserve">Region (raw)</t>
  </si>
  <si>
    <t xml:space="preserve">Category (raw)</t>
  </si>
  <si>
    <t xml:space="preserve">Product</t>
  </si>
  <si>
    <t xml:space="preserve">Quantity (raw)</t>
  </si>
  <si>
    <t xml:space="preserve">UnitPrice (raw)</t>
  </si>
  <si>
    <t xml:space="preserve">Channel</t>
  </si>
  <si>
    <t xml:space="preserve">Customer</t>
  </si>
  <si>
    <t xml:space="preserve">Clean Date</t>
  </si>
  <si>
    <t xml:space="preserve">Clean Region</t>
  </si>
  <si>
    <t xml:space="preserve">Clean Category</t>
  </si>
  <si>
    <t xml:space="preserve">Clean Qty</t>
  </si>
  <si>
    <t xml:space="preserve">Clean Price</t>
  </si>
  <si>
    <t xml:space="preserve">Is Duplicate?</t>
  </si>
  <si>
    <t xml:space="preserve">Is Valid?</t>
  </si>
  <si>
    <t xml:space="preserve">Revenue</t>
  </si>
  <si>
    <t xml:space="preserve">5-Apr-2025</t>
  </si>
  <si>
    <t xml:space="preserve">  SOUTH  </t>
  </si>
  <si>
    <t xml:space="preserve">  ACCESSORIES  </t>
  </si>
  <si>
    <t xml:space="preserve">Trekking Poles</t>
  </si>
  <si>
    <t xml:space="preserve">$49.35</t>
  </si>
  <si>
    <t xml:space="preserve">Online</t>
  </si>
  <si>
    <t xml:space="preserve">Ava King</t>
  </si>
  <si>
    <t xml:space="preserve">2025-01-13</t>
  </si>
  <si>
    <t xml:space="preserve">Midwest</t>
  </si>
  <si>
    <t xml:space="preserve">ACCESSORIES</t>
  </si>
  <si>
    <t xml:space="preserve">Hydration Pack</t>
  </si>
  <si>
    <t xml:space="preserve">84.12</t>
  </si>
  <si>
    <t xml:space="preserve">Wholesale</t>
  </si>
  <si>
    <t xml:space="preserve">Noah Rossi</t>
  </si>
  <si>
    <t xml:space="preserve">3-Aug-2024</t>
  </si>
  <si>
    <t xml:space="preserve">WEST</t>
  </si>
  <si>
    <t xml:space="preserve">Climbing Gear</t>
  </si>
  <si>
    <t xml:space="preserve">Carabiner 5-Pack</t>
  </si>
  <si>
    <t xml:space="preserve">39.86</t>
  </si>
  <si>
    <t xml:space="preserve">Mia Lee</t>
  </si>
  <si>
    <t xml:space="preserve">2024-07-01</t>
  </si>
  <si>
    <t xml:space="preserve">  Midwest  </t>
  </si>
  <si>
    <t xml:space="preserve">Footwear</t>
  </si>
  <si>
    <t xml:space="preserve">AlpineGrip Sandal</t>
  </si>
  <si>
    <t xml:space="preserve">$50.28</t>
  </si>
  <si>
    <t xml:space="preserve">Olivia Lee</t>
  </si>
  <si>
    <t xml:space="preserve">2024-06-29</t>
  </si>
  <si>
    <t xml:space="preserve">  East  </t>
  </si>
  <si>
    <t xml:space="preserve">CAMPING GEAR</t>
  </si>
  <si>
    <t xml:space="preserve">Camp Stove</t>
  </si>
  <si>
    <t xml:space="preserve">$67.30</t>
  </si>
  <si>
    <t xml:space="preserve">In-Store</t>
  </si>
  <si>
    <t xml:space="preserve">Grace Nguyen</t>
  </si>
  <si>
    <t xml:space="preserve">2024-03-05</t>
  </si>
  <si>
    <t xml:space="preserve">  Footwear  </t>
  </si>
  <si>
    <t xml:space="preserve">Trailblazer Hiking Boot</t>
  </si>
  <si>
    <t xml:space="preserve">119.86</t>
  </si>
  <si>
    <t xml:space="preserve">2024-10-03</t>
  </si>
  <si>
    <t xml:space="preserve">  south  </t>
  </si>
  <si>
    <t xml:space="preserve">FOOTWEAR</t>
  </si>
  <si>
    <t xml:space="preserve">$134.62</t>
  </si>
  <si>
    <t xml:space="preserve">Layla Rossi</t>
  </si>
  <si>
    <t xml:space="preserve">2024-10-29</t>
  </si>
  <si>
    <t xml:space="preserve">$55.22</t>
  </si>
  <si>
    <t xml:space="preserve">Layla Smith</t>
  </si>
  <si>
    <t xml:space="preserve">4-Nov-2024</t>
  </si>
  <si>
    <t xml:space="preserve">  APPAREL  </t>
  </si>
  <si>
    <t xml:space="preserve">Merino Base Layer</t>
  </si>
  <si>
    <t xml:space="preserve">59.53</t>
  </si>
  <si>
    <t xml:space="preserve">Owen Walker</t>
  </si>
  <si>
    <t xml:space="preserve">1/13/2024</t>
  </si>
  <si>
    <t xml:space="preserve">West</t>
  </si>
  <si>
    <t xml:space="preserve">Dynamic Rope 60m</t>
  </si>
  <si>
    <t xml:space="preserve">$152.85</t>
  </si>
  <si>
    <t xml:space="preserve">Lucas Hall</t>
  </si>
  <si>
    <t xml:space="preserve">29-Dec-2024</t>
  </si>
  <si>
    <t xml:space="preserve">56.73</t>
  </si>
  <si>
    <t xml:space="preserve">Ethan Walker</t>
  </si>
  <si>
    <t xml:space="preserve">8/14/2024</t>
  </si>
  <si>
    <t xml:space="preserve">Accessories</t>
  </si>
  <si>
    <t xml:space="preserve">84.90</t>
  </si>
  <si>
    <t xml:space="preserve">Maria Young</t>
  </si>
  <si>
    <t xml:space="preserve">2024-03-21</t>
  </si>
  <si>
    <t xml:space="preserve">midwest</t>
  </si>
  <si>
    <t xml:space="preserve">footwear</t>
  </si>
  <si>
    <t xml:space="preserve">52.55</t>
  </si>
  <si>
    <t xml:space="preserve">Maria Allen</t>
  </si>
  <si>
    <t xml:space="preserve">10-Nov-2024</t>
  </si>
  <si>
    <t xml:space="preserve">MIDWEST</t>
  </si>
  <si>
    <t xml:space="preserve">Summit Trail Runner</t>
  </si>
  <si>
    <t xml:space="preserve">$97.97</t>
  </si>
  <si>
    <t xml:space="preserve">Ava Rodriguez</t>
  </si>
  <si>
    <t xml:space="preserve">6-Aug-2024</t>
  </si>
  <si>
    <t xml:space="preserve">  apparel  </t>
  </si>
  <si>
    <t xml:space="preserve">Convertible Hiking Pants</t>
  </si>
  <si>
    <t xml:space="preserve">65.30</t>
  </si>
  <si>
    <t xml:space="preserve">Ethan Clark</t>
  </si>
  <si>
    <t xml:space="preserve">2024-01-25</t>
  </si>
  <si>
    <t xml:space="preserve">EAST</t>
  </si>
  <si>
    <t xml:space="preserve">$124.43</t>
  </si>
  <si>
    <t xml:space="preserve">Zoe Wright</t>
  </si>
  <si>
    <t xml:space="preserve">15-Aug-2024</t>
  </si>
  <si>
    <t xml:space="preserve">CLIMBING GEAR</t>
  </si>
  <si>
    <t xml:space="preserve">Climbing Harness</t>
  </si>
  <si>
    <t xml:space="preserve">99.11</t>
  </si>
  <si>
    <t xml:space="preserve">Lucas Khan</t>
  </si>
  <si>
    <t xml:space="preserve">2024-06-09</t>
  </si>
  <si>
    <t xml:space="preserve">  Climbing Gear  </t>
  </si>
  <si>
    <t xml:space="preserve">109.00</t>
  </si>
  <si>
    <t xml:space="preserve">Olivia Smith</t>
  </si>
  <si>
    <t xml:space="preserve">2024-10-04</t>
  </si>
  <si>
    <t xml:space="preserve">east</t>
  </si>
  <si>
    <t xml:space="preserve">144.27</t>
  </si>
  <si>
    <t xml:space="preserve">Layla Young</t>
  </si>
  <si>
    <t xml:space="preserve">pending</t>
  </si>
  <si>
    <t xml:space="preserve">$155.46</t>
  </si>
  <si>
    <t xml:space="preserve">Ava Walker</t>
  </si>
  <si>
    <t xml:space="preserve">2025-05-22</t>
  </si>
  <si>
    <t xml:space="preserve">SOUTH</t>
  </si>
  <si>
    <t xml:space="preserve">  Apparel  </t>
  </si>
  <si>
    <t xml:space="preserve">Storm Shell Jacket</t>
  </si>
  <si>
    <t xml:space="preserve">$192.13</t>
  </si>
  <si>
    <t xml:space="preserve">Layla Hall</t>
  </si>
  <si>
    <t xml:space="preserve">2/14/2025</t>
  </si>
  <si>
    <t xml:space="preserve">178.19</t>
  </si>
  <si>
    <t xml:space="preserve">Mason Nguyen</t>
  </si>
  <si>
    <t xml:space="preserve">2024-04-10</t>
  </si>
  <si>
    <t xml:space="preserve">East</t>
  </si>
  <si>
    <t xml:space="preserve">  FOOTWEAR  </t>
  </si>
  <si>
    <t xml:space="preserve">Ridgeline Boot</t>
  </si>
  <si>
    <t xml:space="preserve">158.65</t>
  </si>
  <si>
    <t xml:space="preserve">Mason Khan</t>
  </si>
  <si>
    <t xml:space="preserve">5/25/2024</t>
  </si>
  <si>
    <t xml:space="preserve">South</t>
  </si>
  <si>
    <t xml:space="preserve">  CLIMBING GEAR  </t>
  </si>
  <si>
    <t xml:space="preserve">$40.83</t>
  </si>
  <si>
    <t xml:space="preserve">Aisha Rodriguez</t>
  </si>
  <si>
    <t xml:space="preserve">12/12/2024</t>
  </si>
  <si>
    <t xml:space="preserve">Compression Dry Bag</t>
  </si>
  <si>
    <t xml:space="preserve">$28.58</t>
  </si>
  <si>
    <t xml:space="preserve">Olivia Khan</t>
  </si>
  <si>
    <t xml:space="preserve">2024-05-04</t>
  </si>
  <si>
    <t xml:space="preserve">apparel</t>
  </si>
  <si>
    <t xml:space="preserve">$192.28</t>
  </si>
  <si>
    <t xml:space="preserve">Ethan Thompson</t>
  </si>
  <si>
    <t xml:space="preserve">3-Jul-2024</t>
  </si>
  <si>
    <t xml:space="preserve">38.99</t>
  </si>
  <si>
    <t xml:space="preserve">Mia Hall</t>
  </si>
  <si>
    <t xml:space="preserve">5-Mar-2025</t>
  </si>
  <si>
    <t xml:space="preserve">camping gear</t>
  </si>
  <si>
    <t xml:space="preserve">58.56</t>
  </si>
  <si>
    <t xml:space="preserve">Sofia Young</t>
  </si>
  <si>
    <t xml:space="preserve">22-Sep-2024</t>
  </si>
  <si>
    <t xml:space="preserve">139.47</t>
  </si>
  <si>
    <t xml:space="preserve">Emma Hall</t>
  </si>
  <si>
    <t xml:space="preserve">2024-03-27</t>
  </si>
  <si>
    <t xml:space="preserve">south</t>
  </si>
  <si>
    <t xml:space="preserve">climbing gear</t>
  </si>
  <si>
    <t xml:space="preserve">98.72</t>
  </si>
  <si>
    <t xml:space="preserve">Lucas Young</t>
  </si>
  <si>
    <t xml:space="preserve">1/3/2025</t>
  </si>
  <si>
    <t xml:space="preserve">  West  </t>
  </si>
  <si>
    <t xml:space="preserve">83.82</t>
  </si>
  <si>
    <t xml:space="preserve">Ethan Wilson</t>
  </si>
  <si>
    <t xml:space="preserve">10-May-2025</t>
  </si>
  <si>
    <t xml:space="preserve">  EAST  </t>
  </si>
  <si>
    <t xml:space="preserve">Chalk Bag</t>
  </si>
  <si>
    <t xml:space="preserve">21.27</t>
  </si>
  <si>
    <t xml:space="preserve">Zoe Allen</t>
  </si>
  <si>
    <t xml:space="preserve">31-Jan-2024</t>
  </si>
  <si>
    <t xml:space="preserve">87.20</t>
  </si>
  <si>
    <t xml:space="preserve">Owen Wright</t>
  </si>
  <si>
    <t xml:space="preserve">2024-01-14</t>
  </si>
  <si>
    <t xml:space="preserve">77.17</t>
  </si>
  <si>
    <t xml:space="preserve">Mia Rossi</t>
  </si>
  <si>
    <t xml:space="preserve">Olivia Garcia</t>
  </si>
  <si>
    <t xml:space="preserve">2025-05-09</t>
  </si>
  <si>
    <t xml:space="preserve">$103.83</t>
  </si>
  <si>
    <t xml:space="preserve">Lucas Brown</t>
  </si>
  <si>
    <t xml:space="preserve">2025-03-14</t>
  </si>
  <si>
    <t xml:space="preserve">  camping gear  </t>
  </si>
  <si>
    <t xml:space="preserve">2-Person Tent</t>
  </si>
  <si>
    <t xml:space="preserve">252.95</t>
  </si>
  <si>
    <t xml:space="preserve">Layla Brown</t>
  </si>
  <si>
    <t xml:space="preserve">TBD</t>
  </si>
  <si>
    <t xml:space="preserve">19.11</t>
  </si>
  <si>
    <t xml:space="preserve">Mia Walker</t>
  </si>
  <si>
    <t xml:space="preserve">2/4/2024</t>
  </si>
  <si>
    <t xml:space="preserve">Headlamp</t>
  </si>
  <si>
    <t xml:space="preserve">$37.90</t>
  </si>
  <si>
    <t xml:space="preserve">Lucas Rodriguez</t>
  </si>
  <si>
    <t xml:space="preserve">2/1/2025</t>
  </si>
  <si>
    <t xml:space="preserve">52.33</t>
  </si>
  <si>
    <t xml:space="preserve">Lucas Martinez</t>
  </si>
  <si>
    <t xml:space="preserve">unknown</t>
  </si>
  <si>
    <t xml:space="preserve">Apparel</t>
  </si>
  <si>
    <t xml:space="preserve">$54.40</t>
  </si>
  <si>
    <t xml:space="preserve">Daniel Nguyen</t>
  </si>
  <si>
    <t xml:space="preserve">2024-10-23</t>
  </si>
  <si>
    <t xml:space="preserve">152.62</t>
  </si>
  <si>
    <t xml:space="preserve">Daniel Rossi</t>
  </si>
  <si>
    <t xml:space="preserve">2024-06-16</t>
  </si>
  <si>
    <t xml:space="preserve">  east  </t>
  </si>
  <si>
    <t xml:space="preserve">  accessories  </t>
  </si>
  <si>
    <t xml:space="preserve">33.02</t>
  </si>
  <si>
    <t xml:space="preserve">James Brown</t>
  </si>
  <si>
    <t xml:space="preserve">1/29/2025</t>
  </si>
  <si>
    <t xml:space="preserve">  MIDWEST  </t>
  </si>
  <si>
    <t xml:space="preserve">APPAREL</t>
  </si>
  <si>
    <t xml:space="preserve">68.76</t>
  </si>
  <si>
    <t xml:space="preserve">James Hall</t>
  </si>
  <si>
    <t xml:space="preserve">2024-05-23</t>
  </si>
  <si>
    <t xml:space="preserve">42.67</t>
  </si>
  <si>
    <t xml:space="preserve">Grace Young</t>
  </si>
  <si>
    <t xml:space="preserve">2024-05-31</t>
  </si>
  <si>
    <t xml:space="preserve">218.53</t>
  </si>
  <si>
    <t xml:space="preserve">Mia Rodriguez</t>
  </si>
  <si>
    <t xml:space="preserve">2025-05-06</t>
  </si>
  <si>
    <t xml:space="preserve">154.16</t>
  </si>
  <si>
    <t xml:space="preserve">Mia Martinez</t>
  </si>
  <si>
    <t xml:space="preserve">2025-04-23</t>
  </si>
  <si>
    <t xml:space="preserve">Trail Fleece</t>
  </si>
  <si>
    <t xml:space="preserve">$80.93</t>
  </si>
  <si>
    <t xml:space="preserve">Daniel Davis</t>
  </si>
  <si>
    <t xml:space="preserve">4/26/2025</t>
  </si>
  <si>
    <t xml:space="preserve">42.38</t>
  </si>
  <si>
    <t xml:space="preserve">Ethan Nguyen</t>
  </si>
  <si>
    <t xml:space="preserve">2024-07-16</t>
  </si>
  <si>
    <t xml:space="preserve">  CAMPING GEAR  </t>
  </si>
  <si>
    <t xml:space="preserve">Compact Sleeping Pad</t>
  </si>
  <si>
    <t xml:space="preserve">80.54</t>
  </si>
  <si>
    <t xml:space="preserve">Ryan Khan</t>
  </si>
  <si>
    <t xml:space="preserve">2025-01-27</t>
  </si>
  <si>
    <t xml:space="preserve">177.82</t>
  </si>
  <si>
    <t xml:space="preserve">Lucas Thompson</t>
  </si>
  <si>
    <t xml:space="preserve">11/1/2024</t>
  </si>
  <si>
    <t xml:space="preserve">61.47</t>
  </si>
  <si>
    <t xml:space="preserve">Aisha Smith</t>
  </si>
  <si>
    <t xml:space="preserve">4/20/2024</t>
  </si>
  <si>
    <t xml:space="preserve">19.82</t>
  </si>
  <si>
    <t xml:space="preserve">Liam King</t>
  </si>
  <si>
    <t xml:space="preserve">2025-06-03</t>
  </si>
  <si>
    <t xml:space="preserve">$66.48</t>
  </si>
  <si>
    <t xml:space="preserve">Ethan Khan</t>
  </si>
  <si>
    <t xml:space="preserve">2024-06-22</t>
  </si>
  <si>
    <t xml:space="preserve">74.44</t>
  </si>
  <si>
    <t xml:space="preserve">Liam Nguyen</t>
  </si>
  <si>
    <t xml:space="preserve">2024-07-17</t>
  </si>
  <si>
    <t xml:space="preserve">36.54</t>
  </si>
  <si>
    <t xml:space="preserve">Aisha Lee</t>
  </si>
  <si>
    <t xml:space="preserve">2024-04-26</t>
  </si>
  <si>
    <t xml:space="preserve">$75.11</t>
  </si>
  <si>
    <t xml:space="preserve">Emma Walker</t>
  </si>
  <si>
    <t xml:space="preserve">2024-01-19</t>
  </si>
  <si>
    <t xml:space="preserve">153.49</t>
  </si>
  <si>
    <t xml:space="preserve">5/19/2025</t>
  </si>
  <si>
    <t xml:space="preserve">$82.31</t>
  </si>
  <si>
    <t xml:space="preserve">Ethan Lee</t>
  </si>
  <si>
    <t xml:space="preserve">--</t>
  </si>
  <si>
    <t xml:space="preserve">  Camping Gear  </t>
  </si>
  <si>
    <t xml:space="preserve">85.56</t>
  </si>
  <si>
    <t xml:space="preserve">Daniel Allen</t>
  </si>
  <si>
    <t xml:space="preserve">25-Apr-2025</t>
  </si>
  <si>
    <t xml:space="preserve">$91.44</t>
  </si>
  <si>
    <t xml:space="preserve">Owen Brown</t>
  </si>
  <si>
    <t xml:space="preserve">2024-03-25</t>
  </si>
  <si>
    <t xml:space="preserve">169.06</t>
  </si>
  <si>
    <t xml:space="preserve">Zoe Brown</t>
  </si>
  <si>
    <t xml:space="preserve">10/15/2024</t>
  </si>
  <si>
    <t xml:space="preserve">94.11</t>
  </si>
  <si>
    <t xml:space="preserve">43.59</t>
  </si>
  <si>
    <t xml:space="preserve">11/6/2024</t>
  </si>
  <si>
    <t xml:space="preserve">26.64</t>
  </si>
  <si>
    <t xml:space="preserve">Liam Johnson</t>
  </si>
  <si>
    <t xml:space="preserve">4/18/2024</t>
  </si>
  <si>
    <t xml:space="preserve">166.18</t>
  </si>
  <si>
    <t xml:space="preserve">Noah Davis</t>
  </si>
  <si>
    <t xml:space="preserve">2024-09-24</t>
  </si>
  <si>
    <t xml:space="preserve">74.94</t>
  </si>
  <si>
    <t xml:space="preserve">Aisha Walker</t>
  </si>
  <si>
    <t xml:space="preserve">5-Jan-2024</t>
  </si>
  <si>
    <t xml:space="preserve">78.23</t>
  </si>
  <si>
    <t xml:space="preserve">Daniel Clark</t>
  </si>
  <si>
    <t xml:space="preserve">2024-05-29</t>
  </si>
  <si>
    <t xml:space="preserve">128.62</t>
  </si>
  <si>
    <t xml:space="preserve">Carlos Smith</t>
  </si>
  <si>
    <t xml:space="preserve">2024-05-13</t>
  </si>
  <si>
    <t xml:space="preserve">86.46</t>
  </si>
  <si>
    <t xml:space="preserve">Mia Khan</t>
  </si>
  <si>
    <t xml:space="preserve">2024-06-07</t>
  </si>
  <si>
    <t xml:space="preserve">$171.07</t>
  </si>
  <si>
    <t xml:space="preserve">Liam Wilson</t>
  </si>
  <si>
    <t xml:space="preserve">6/3/2024</t>
  </si>
  <si>
    <t xml:space="preserve">  South  </t>
  </si>
  <si>
    <t xml:space="preserve">$38.57</t>
  </si>
  <si>
    <t xml:space="preserve">12/14/2024</t>
  </si>
  <si>
    <t xml:space="preserve">80.84</t>
  </si>
  <si>
    <t xml:space="preserve">Emma Rodriguez</t>
  </si>
  <si>
    <t xml:space="preserve">4/14/2025</t>
  </si>
  <si>
    <t xml:space="preserve">  WEST  </t>
  </si>
  <si>
    <t xml:space="preserve">54.23</t>
  </si>
  <si>
    <t xml:space="preserve">James Wilson</t>
  </si>
  <si>
    <t xml:space="preserve">18.15</t>
  </si>
  <si>
    <t xml:space="preserve">3/7/2025</t>
  </si>
  <si>
    <t xml:space="preserve">$75.26</t>
  </si>
  <si>
    <t xml:space="preserve">Layla Martinez</t>
  </si>
  <si>
    <t xml:space="preserve">7-Apr-2024</t>
  </si>
  <si>
    <t xml:space="preserve">$61.95</t>
  </si>
  <si>
    <t xml:space="preserve">Emma Thompson</t>
  </si>
  <si>
    <t xml:space="preserve">2-Nov-2024</t>
  </si>
  <si>
    <t xml:space="preserve">west</t>
  </si>
  <si>
    <t xml:space="preserve">accessories</t>
  </si>
  <si>
    <t xml:space="preserve">45.45</t>
  </si>
  <si>
    <t xml:space="preserve">Liam Garcia</t>
  </si>
  <si>
    <t xml:space="preserve">2024-10-22</t>
  </si>
  <si>
    <t xml:space="preserve">71.28</t>
  </si>
  <si>
    <t xml:space="preserve">Aisha Davis</t>
  </si>
  <si>
    <t xml:space="preserve">2025-04-24</t>
  </si>
  <si>
    <t xml:space="preserve">36.40</t>
  </si>
  <si>
    <t xml:space="preserve">2024-07-18</t>
  </si>
  <si>
    <t xml:space="preserve">80.25</t>
  </si>
  <si>
    <t xml:space="preserve">Ethan Young</t>
  </si>
  <si>
    <t xml:space="preserve">9/19/2024</t>
  </si>
  <si>
    <t xml:space="preserve">86.10</t>
  </si>
  <si>
    <t xml:space="preserve">Ethan Allen</t>
  </si>
  <si>
    <t xml:space="preserve">1-Jun-2024</t>
  </si>
  <si>
    <t xml:space="preserve">$66.94</t>
  </si>
  <si>
    <t xml:space="preserve">Grace Walker</t>
  </si>
  <si>
    <t xml:space="preserve">2024-04-03</t>
  </si>
  <si>
    <t xml:space="preserve">$90.77</t>
  </si>
  <si>
    <t xml:space="preserve">Maria Khan</t>
  </si>
  <si>
    <t xml:space="preserve">7/18/2024</t>
  </si>
  <si>
    <t xml:space="preserve">$87.91</t>
  </si>
  <si>
    <t xml:space="preserve">Daniel Smith</t>
  </si>
  <si>
    <t xml:space="preserve">2024-07-11</t>
  </si>
  <si>
    <t xml:space="preserve">188.16</t>
  </si>
  <si>
    <t xml:space="preserve">Aisha King</t>
  </si>
  <si>
    <t xml:space="preserve">61.24</t>
  </si>
  <si>
    <t xml:space="preserve">Zoe Davis</t>
  </si>
  <si>
    <t xml:space="preserve">3-Jun-2025</t>
  </si>
  <si>
    <t xml:space="preserve">$81.53</t>
  </si>
  <si>
    <t xml:space="preserve">2025-04-11</t>
  </si>
  <si>
    <t xml:space="preserve">83.18</t>
  </si>
  <si>
    <t xml:space="preserve">Daniel Khan</t>
  </si>
  <si>
    <t xml:space="preserve">2025-06-13</t>
  </si>
  <si>
    <t xml:space="preserve">27.31</t>
  </si>
  <si>
    <t xml:space="preserve">Noah Smith</t>
  </si>
  <si>
    <t xml:space="preserve">3/27/2024</t>
  </si>
  <si>
    <t xml:space="preserve">$248.84</t>
  </si>
  <si>
    <t xml:space="preserve">2024-07-15</t>
  </si>
  <si>
    <t xml:space="preserve">$173.84</t>
  </si>
  <si>
    <t xml:space="preserve">Mason Allen</t>
  </si>
  <si>
    <t xml:space="preserve">21-Jul-2024</t>
  </si>
  <si>
    <t xml:space="preserve">$63.06</t>
  </si>
  <si>
    <t xml:space="preserve">Carlos Brown</t>
  </si>
  <si>
    <t xml:space="preserve">10/21/2024</t>
  </si>
  <si>
    <t xml:space="preserve">21.45</t>
  </si>
  <si>
    <t xml:space="preserve">Mia Allen</t>
  </si>
  <si>
    <t xml:space="preserve">11/16/2024</t>
  </si>
  <si>
    <t xml:space="preserve">$50.79</t>
  </si>
  <si>
    <t xml:space="preserve">Sofia King</t>
  </si>
  <si>
    <t xml:space="preserve">11/3/2024</t>
  </si>
  <si>
    <t xml:space="preserve">$37.39</t>
  </si>
  <si>
    <t xml:space="preserve">Ryan Lee</t>
  </si>
  <si>
    <t xml:space="preserve">N/A</t>
  </si>
  <si>
    <t xml:space="preserve">Camping Gear</t>
  </si>
  <si>
    <t xml:space="preserve">90.43</t>
  </si>
  <si>
    <t xml:space="preserve">Mason Young</t>
  </si>
  <si>
    <t xml:space="preserve">153.23</t>
  </si>
  <si>
    <t xml:space="preserve">136.35</t>
  </si>
  <si>
    <t xml:space="preserve">Lucas Wright</t>
  </si>
  <si>
    <t xml:space="preserve">25-Sep-2024</t>
  </si>
  <si>
    <t xml:space="preserve">$55.28</t>
  </si>
  <si>
    <t xml:space="preserve">Sofia Martinez</t>
  </si>
  <si>
    <t xml:space="preserve">6/4/2024</t>
  </si>
  <si>
    <t xml:space="preserve">56.69</t>
  </si>
  <si>
    <t xml:space="preserve">James Walker</t>
  </si>
  <si>
    <t xml:space="preserve">5-Dec-2024</t>
  </si>
  <si>
    <t xml:space="preserve">51.99</t>
  </si>
  <si>
    <t xml:space="preserve">Emma Rossi</t>
  </si>
  <si>
    <t xml:space="preserve">2024-12-06</t>
  </si>
  <si>
    <t xml:space="preserve">$21.70</t>
  </si>
  <si>
    <t xml:space="preserve">Emma Wilson</t>
  </si>
  <si>
    <t xml:space="preserve">2024-03-10</t>
  </si>
  <si>
    <t xml:space="preserve">90.25</t>
  </si>
  <si>
    <t xml:space="preserve">Layla Khan</t>
  </si>
  <si>
    <t xml:space="preserve">2024-05-12</t>
  </si>
  <si>
    <t xml:space="preserve">55.06</t>
  </si>
  <si>
    <t xml:space="preserve">2025-05-04</t>
  </si>
  <si>
    <t xml:space="preserve">$19.28</t>
  </si>
  <si>
    <t xml:space="preserve">Liam Thompson</t>
  </si>
  <si>
    <t xml:space="preserve">2025-04-20</t>
  </si>
  <si>
    <t xml:space="preserve">94.41</t>
  </si>
  <si>
    <t xml:space="preserve">Aisha Wright</t>
  </si>
  <si>
    <t xml:space="preserve">2024-09-07</t>
  </si>
  <si>
    <t xml:space="preserve">46.50</t>
  </si>
  <si>
    <t xml:space="preserve">2024-11-13</t>
  </si>
  <si>
    <t xml:space="preserve">$80.25</t>
  </si>
  <si>
    <t xml:space="preserve">2024-02-02</t>
  </si>
  <si>
    <t xml:space="preserve">53.03</t>
  </si>
  <si>
    <t xml:space="preserve">Sofia Nguyen</t>
  </si>
  <si>
    <t xml:space="preserve">2024-06-14</t>
  </si>
  <si>
    <t xml:space="preserve">$91.25</t>
  </si>
  <si>
    <t xml:space="preserve">Mason Wilson</t>
  </si>
  <si>
    <t xml:space="preserve">2025-04-30</t>
  </si>
  <si>
    <t xml:space="preserve">86.70</t>
  </si>
  <si>
    <t xml:space="preserve">Noah King</t>
  </si>
  <si>
    <t xml:space="preserve">7/29/2024</t>
  </si>
  <si>
    <t xml:space="preserve">$71.20</t>
  </si>
  <si>
    <t xml:space="preserve">4/26/2024</t>
  </si>
  <si>
    <t xml:space="preserve">$145.36</t>
  </si>
  <si>
    <t xml:space="preserve">Grace Khan</t>
  </si>
  <si>
    <t xml:space="preserve">1-Apr-2024</t>
  </si>
  <si>
    <t xml:space="preserve">  midwest  </t>
  </si>
  <si>
    <t xml:space="preserve">75.25</t>
  </si>
  <si>
    <t xml:space="preserve">Noah Rodriguez</t>
  </si>
  <si>
    <t xml:space="preserve">  footwear  </t>
  </si>
  <si>
    <t xml:space="preserve">49.81</t>
  </si>
  <si>
    <t xml:space="preserve">Olivia Davis</t>
  </si>
  <si>
    <t xml:space="preserve">1-Jun-2025</t>
  </si>
  <si>
    <t xml:space="preserve">$162.51</t>
  </si>
  <si>
    <t xml:space="preserve">Layla Garcia</t>
  </si>
  <si>
    <t xml:space="preserve">23-Jul-2024</t>
  </si>
  <si>
    <t xml:space="preserve">172.91</t>
  </si>
  <si>
    <t xml:space="preserve">Ava Martinez</t>
  </si>
  <si>
    <t xml:space="preserve">2024-04-29</t>
  </si>
  <si>
    <t xml:space="preserve">Down Sleeping Bag</t>
  </si>
  <si>
    <t xml:space="preserve">181.07</t>
  </si>
  <si>
    <t xml:space="preserve">9-Mar-2024</t>
  </si>
  <si>
    <t xml:space="preserve">$126.28</t>
  </si>
  <si>
    <t xml:space="preserve">Ava Wright</t>
  </si>
  <si>
    <t xml:space="preserve">2024-09-29</t>
  </si>
  <si>
    <t xml:space="preserve">$118.11</t>
  </si>
  <si>
    <t xml:space="preserve">James Wright</t>
  </si>
  <si>
    <t xml:space="preserve">1-Aug-2024</t>
  </si>
  <si>
    <t xml:space="preserve">$148.25</t>
  </si>
  <si>
    <t xml:space="preserve">Owen Garcia</t>
  </si>
  <si>
    <t xml:space="preserve">3/5/2024</t>
  </si>
  <si>
    <t xml:space="preserve">156.05</t>
  </si>
  <si>
    <t xml:space="preserve">Mia Wright</t>
  </si>
  <si>
    <t xml:space="preserve">14-Jul-2024</t>
  </si>
  <si>
    <t xml:space="preserve">58.76</t>
  </si>
  <si>
    <t xml:space="preserve">Ava Johnson</t>
  </si>
  <si>
    <t xml:space="preserve">1/4/2025</t>
  </si>
  <si>
    <t xml:space="preserve">121.32</t>
  </si>
  <si>
    <t xml:space="preserve">Ryan Smith</t>
  </si>
  <si>
    <t xml:space="preserve">11/19/2024</t>
  </si>
  <si>
    <t xml:space="preserve">36.98</t>
  </si>
  <si>
    <t xml:space="preserve">Noah Nguyen</t>
  </si>
  <si>
    <t xml:space="preserve">27-Nov-2024</t>
  </si>
  <si>
    <t xml:space="preserve">102.41</t>
  </si>
  <si>
    <t xml:space="preserve">Aisha Martinez</t>
  </si>
  <si>
    <t xml:space="preserve">14-Feb-2024</t>
  </si>
  <si>
    <t xml:space="preserve">134.17</t>
  </si>
  <si>
    <t xml:space="preserve">Daniel Walker</t>
  </si>
  <si>
    <t xml:space="preserve">8/20/2024</t>
  </si>
  <si>
    <t xml:space="preserve">$106.40</t>
  </si>
  <si>
    <t xml:space="preserve">Mason Johnson</t>
  </si>
  <si>
    <t xml:space="preserve">9/12/2024</t>
  </si>
  <si>
    <t xml:space="preserve">$38.73</t>
  </si>
  <si>
    <t xml:space="preserve">Olivia Martinez</t>
  </si>
  <si>
    <t xml:space="preserve">3/21/2024</t>
  </si>
  <si>
    <t xml:space="preserve">$75.33</t>
  </si>
  <si>
    <t xml:space="preserve">Carlos Khan</t>
  </si>
  <si>
    <t xml:space="preserve">2025-06-21</t>
  </si>
  <si>
    <t xml:space="preserve">217.43</t>
  </si>
  <si>
    <t xml:space="preserve">Grace Rossi</t>
  </si>
  <si>
    <t xml:space="preserve">2024-09-06</t>
  </si>
  <si>
    <t xml:space="preserve">104.32</t>
  </si>
  <si>
    <t xml:space="preserve">Ava Brown</t>
  </si>
  <si>
    <t xml:space="preserve">5/20/2025</t>
  </si>
  <si>
    <t xml:space="preserve">$56.55</t>
  </si>
  <si>
    <t xml:space="preserve">Layla Allen</t>
  </si>
  <si>
    <t xml:space="preserve">24.54</t>
  </si>
  <si>
    <t xml:space="preserve">Olivia Rossi</t>
  </si>
  <si>
    <t xml:space="preserve">6/15/2025</t>
  </si>
  <si>
    <t xml:space="preserve">26.14</t>
  </si>
  <si>
    <t xml:space="preserve">Carlos Thompson</t>
  </si>
  <si>
    <t xml:space="preserve">2024-11-28</t>
  </si>
  <si>
    <t xml:space="preserve">59.58</t>
  </si>
  <si>
    <t xml:space="preserve">Aisha Hall</t>
  </si>
  <si>
    <t xml:space="preserve">13-Jan-2024</t>
  </si>
  <si>
    <t xml:space="preserve">$94.11</t>
  </si>
  <si>
    <t xml:space="preserve">Daniel Brown</t>
  </si>
  <si>
    <t xml:space="preserve">2024-08-06</t>
  </si>
  <si>
    <t xml:space="preserve">52.20</t>
  </si>
  <si>
    <t xml:space="preserve">Liam Allen</t>
  </si>
  <si>
    <t xml:space="preserve">5-May-2025</t>
  </si>
  <si>
    <t xml:space="preserve">144.64</t>
  </si>
  <si>
    <t xml:space="preserve">Maria Smith</t>
  </si>
  <si>
    <t xml:space="preserve">1/27/2024</t>
  </si>
  <si>
    <t xml:space="preserve">127.62</t>
  </si>
  <si>
    <t xml:space="preserve">Owen Khan</t>
  </si>
  <si>
    <t xml:space="preserve">4-Oct-2024</t>
  </si>
  <si>
    <t xml:space="preserve">$59.92</t>
  </si>
  <si>
    <t xml:space="preserve">Lucas Allen</t>
  </si>
  <si>
    <t xml:space="preserve">3/23/2025</t>
  </si>
  <si>
    <t xml:space="preserve">$181.41</t>
  </si>
  <si>
    <t xml:space="preserve">Liam Rossi</t>
  </si>
  <si>
    <t xml:space="preserve">13-Jan-2025</t>
  </si>
  <si>
    <t xml:space="preserve">$37.75</t>
  </si>
  <si>
    <t xml:space="preserve">Olivia Thompson</t>
  </si>
  <si>
    <t xml:space="preserve">2024-11-03</t>
  </si>
  <si>
    <t xml:space="preserve">59.24</t>
  </si>
  <si>
    <t xml:space="preserve">Sofia Lee</t>
  </si>
  <si>
    <t xml:space="preserve">2024-01-20</t>
  </si>
  <si>
    <t xml:space="preserve">$72.53</t>
  </si>
  <si>
    <t xml:space="preserve">Lucas Lee</t>
  </si>
  <si>
    <t xml:space="preserve">2024-11-17</t>
  </si>
  <si>
    <t xml:space="preserve">90.49</t>
  </si>
  <si>
    <t xml:space="preserve">Daniel Wright</t>
  </si>
  <si>
    <t xml:space="preserve">214.74</t>
  </si>
  <si>
    <t xml:space="preserve">Layla Rodriguez</t>
  </si>
  <si>
    <t xml:space="preserve">2024-10-05</t>
  </si>
  <si>
    <t xml:space="preserve">19.66</t>
  </si>
  <si>
    <t xml:space="preserve">2025-06-23</t>
  </si>
  <si>
    <t xml:space="preserve">87.25</t>
  </si>
  <si>
    <t xml:space="preserve">Liam Smith</t>
  </si>
  <si>
    <t xml:space="preserve">5/21/2024</t>
  </si>
  <si>
    <t xml:space="preserve">  west  </t>
  </si>
  <si>
    <t xml:space="preserve">$143.69</t>
  </si>
  <si>
    <t xml:space="preserve">Olivia Wilson</t>
  </si>
  <si>
    <t xml:space="preserve">3/12/2024</t>
  </si>
  <si>
    <t xml:space="preserve">$82.18</t>
  </si>
  <si>
    <t xml:space="preserve">Owen Martinez</t>
  </si>
  <si>
    <t xml:space="preserve">2024-05-09</t>
  </si>
  <si>
    <t xml:space="preserve">120.21</t>
  </si>
  <si>
    <t xml:space="preserve">Emma Johnson</t>
  </si>
  <si>
    <t xml:space="preserve">2024-01-07</t>
  </si>
  <si>
    <t xml:space="preserve">$172.21</t>
  </si>
  <si>
    <t xml:space="preserve">21-Aug-2024</t>
  </si>
  <si>
    <t xml:space="preserve">52.67</t>
  </si>
  <si>
    <t xml:space="preserve">James Khan</t>
  </si>
  <si>
    <t xml:space="preserve">$248.02</t>
  </si>
  <si>
    <t xml:space="preserve">2/21/2025</t>
  </si>
  <si>
    <t xml:space="preserve">221.13</t>
  </si>
  <si>
    <t xml:space="preserve">2024-06-03</t>
  </si>
  <si>
    <t xml:space="preserve">86.08</t>
  </si>
  <si>
    <t xml:space="preserve">James Smith</t>
  </si>
  <si>
    <t xml:space="preserve">2025-06-05</t>
  </si>
  <si>
    <t xml:space="preserve">60.13</t>
  </si>
  <si>
    <t xml:space="preserve">2024-01-09</t>
  </si>
  <si>
    <t xml:space="preserve">54.10</t>
  </si>
  <si>
    <t xml:space="preserve">2024-11-22</t>
  </si>
  <si>
    <t xml:space="preserve">$68.91</t>
  </si>
  <si>
    <t xml:space="preserve">Emma Clark</t>
  </si>
  <si>
    <t xml:space="preserve">8/1/2024</t>
  </si>
  <si>
    <t xml:space="preserve">6/20/2025</t>
  </si>
  <si>
    <t xml:space="preserve">$69.40</t>
  </si>
  <si>
    <t xml:space="preserve">8/16/2024</t>
  </si>
  <si>
    <t xml:space="preserve">64.99</t>
  </si>
  <si>
    <t xml:space="preserve">Liam Walker</t>
  </si>
  <si>
    <t xml:space="preserve">16-Sep-2024</t>
  </si>
  <si>
    <t xml:space="preserve">  Accessories  </t>
  </si>
  <si>
    <t xml:space="preserve">55.74</t>
  </si>
  <si>
    <t xml:space="preserve">Maria Rossi</t>
  </si>
  <si>
    <t xml:space="preserve">2025-03-24</t>
  </si>
  <si>
    <t xml:space="preserve">Grace Wright</t>
  </si>
  <si>
    <t xml:space="preserve">$98.62</t>
  </si>
  <si>
    <t xml:space="preserve">20-Feb-2024</t>
  </si>
  <si>
    <t xml:space="preserve">20.72</t>
  </si>
  <si>
    <t xml:space="preserve">James Davis</t>
  </si>
  <si>
    <t xml:space="preserve">2024-09-21</t>
  </si>
  <si>
    <t xml:space="preserve">94.66</t>
  </si>
  <si>
    <t xml:space="preserve">Ava Rossi</t>
  </si>
  <si>
    <t xml:space="preserve">2025-05-20</t>
  </si>
  <si>
    <t xml:space="preserve">$81.72</t>
  </si>
  <si>
    <t xml:space="preserve">Zoe Khan</t>
  </si>
  <si>
    <t xml:space="preserve">4/12/2025</t>
  </si>
  <si>
    <t xml:space="preserve">$156.39</t>
  </si>
  <si>
    <t xml:space="preserve">2/6/2024</t>
  </si>
  <si>
    <t xml:space="preserve">140.30</t>
  </si>
  <si>
    <t xml:space="preserve">Zoe Thompson</t>
  </si>
  <si>
    <t xml:space="preserve">8/7/2024</t>
  </si>
  <si>
    <t xml:space="preserve">84.71</t>
  </si>
  <si>
    <t xml:space="preserve">Grace Hall</t>
  </si>
  <si>
    <t xml:space="preserve">2025-05-02</t>
  </si>
  <si>
    <t xml:space="preserve">$51.35</t>
  </si>
  <si>
    <t xml:space="preserve">Aisha Clark</t>
  </si>
  <si>
    <t xml:space="preserve">3/27/2025</t>
  </si>
  <si>
    <t xml:space="preserve">  climbing gear  </t>
  </si>
  <si>
    <t xml:space="preserve">41.29</t>
  </si>
  <si>
    <t xml:space="preserve">23-Nov-2024</t>
  </si>
  <si>
    <t xml:space="preserve">90.77</t>
  </si>
  <si>
    <t xml:space="preserve">Ryan Brown</t>
  </si>
  <si>
    <t xml:space="preserve">4/3/2025</t>
  </si>
  <si>
    <t xml:space="preserve">Maria Martinez</t>
  </si>
  <si>
    <t xml:space="preserve">27-Sep-2024</t>
  </si>
  <si>
    <t xml:space="preserve">119.83</t>
  </si>
  <si>
    <t xml:space="preserve">Carlos Allen</t>
  </si>
  <si>
    <t xml:space="preserve">3/15/2024</t>
  </si>
  <si>
    <t xml:space="preserve">250.14</t>
  </si>
  <si>
    <t xml:space="preserve">7/13/2024</t>
  </si>
  <si>
    <t xml:space="preserve">73.81</t>
  </si>
  <si>
    <t xml:space="preserve">Aisha Allen</t>
  </si>
  <si>
    <t xml:space="preserve">25-Feb-2024</t>
  </si>
  <si>
    <t xml:space="preserve">$22.92</t>
  </si>
  <si>
    <t xml:space="preserve">2024-03-08</t>
  </si>
  <si>
    <t xml:space="preserve">$40.08</t>
  </si>
  <si>
    <t xml:space="preserve">Liam Hall</t>
  </si>
  <si>
    <t xml:space="preserve">88.88</t>
  </si>
  <si>
    <t xml:space="preserve">12/16/2024</t>
  </si>
  <si>
    <t xml:space="preserve">58.89</t>
  </si>
  <si>
    <t xml:space="preserve">2025-06-04</t>
  </si>
  <si>
    <t xml:space="preserve">93.98</t>
  </si>
  <si>
    <t xml:space="preserve">Liam Wright</t>
  </si>
  <si>
    <t xml:space="preserve">12/3/2024</t>
  </si>
  <si>
    <t xml:space="preserve">220.82</t>
  </si>
  <si>
    <t xml:space="preserve">2-Feb-2024</t>
  </si>
  <si>
    <t xml:space="preserve">65.02</t>
  </si>
  <si>
    <t xml:space="preserve">1/16/2025</t>
  </si>
  <si>
    <t xml:space="preserve">23.52</t>
  </si>
  <si>
    <t xml:space="preserve">Sofia Garcia</t>
  </si>
  <si>
    <t xml:space="preserve">11-Sep-2024</t>
  </si>
  <si>
    <t xml:space="preserve">174.19</t>
  </si>
  <si>
    <t xml:space="preserve">Lucas Wilson</t>
  </si>
  <si>
    <t xml:space="preserve">89.84</t>
  </si>
  <si>
    <t xml:space="preserve">21-Apr-2024</t>
  </si>
  <si>
    <t xml:space="preserve">65.68</t>
  </si>
  <si>
    <t xml:space="preserve">Mason Rodriguez</t>
  </si>
  <si>
    <t xml:space="preserve">6/25/2024</t>
  </si>
  <si>
    <t xml:space="preserve">159.45</t>
  </si>
  <si>
    <t xml:space="preserve">Mia Davis</t>
  </si>
  <si>
    <t xml:space="preserve">2/14/2024</t>
  </si>
  <si>
    <t xml:space="preserve">71.05</t>
  </si>
  <si>
    <t xml:space="preserve">Mia Johnson</t>
  </si>
  <si>
    <t xml:space="preserve">12/11/2024</t>
  </si>
  <si>
    <t xml:space="preserve">22.40</t>
  </si>
  <si>
    <t xml:space="preserve">James Allen</t>
  </si>
  <si>
    <t xml:space="preserve">1-Sep-2024</t>
  </si>
  <si>
    <t xml:space="preserve">77.60</t>
  </si>
  <si>
    <t xml:space="preserve">Mason Thompson</t>
  </si>
  <si>
    <t xml:space="preserve">19-Aug-2024</t>
  </si>
  <si>
    <t xml:space="preserve">91.55</t>
  </si>
  <si>
    <t xml:space="preserve">Lucas Walker</t>
  </si>
  <si>
    <t xml:space="preserve">$41.64</t>
  </si>
  <si>
    <t xml:space="preserve">Zoe Young</t>
  </si>
  <si>
    <t xml:space="preserve">2/29/2024</t>
  </si>
  <si>
    <t xml:space="preserve">$97.93</t>
  </si>
  <si>
    <t xml:space="preserve">James Thompson</t>
  </si>
  <si>
    <t xml:space="preserve">2025-01-12</t>
  </si>
  <si>
    <t xml:space="preserve">$38.64</t>
  </si>
  <si>
    <t xml:space="preserve">72.55</t>
  </si>
  <si>
    <t xml:space="preserve">Ethan Rossi</t>
  </si>
  <si>
    <t xml:space="preserve">23-Jan-2025</t>
  </si>
  <si>
    <t xml:space="preserve">76.56</t>
  </si>
  <si>
    <t xml:space="preserve">James Lee</t>
  </si>
  <si>
    <t xml:space="preserve">22-Mar-2025</t>
  </si>
  <si>
    <t xml:space="preserve">$73.89</t>
  </si>
  <si>
    <t xml:space="preserve">Aisha Wilson</t>
  </si>
  <si>
    <t xml:space="preserve">2024-12-18</t>
  </si>
  <si>
    <t xml:space="preserve">148.43</t>
  </si>
  <si>
    <t xml:space="preserve">2024-11-23</t>
  </si>
  <si>
    <t xml:space="preserve">$60.93</t>
  </si>
  <si>
    <t xml:space="preserve">2024-06-01</t>
  </si>
  <si>
    <t xml:space="preserve">36.51</t>
  </si>
  <si>
    <t xml:space="preserve">Grace Thompson</t>
  </si>
  <si>
    <t xml:space="preserve">10/7/2024</t>
  </si>
  <si>
    <t xml:space="preserve">$166.03</t>
  </si>
  <si>
    <t xml:space="preserve">Sofia Hall</t>
  </si>
  <si>
    <t xml:space="preserve">$65.16</t>
  </si>
  <si>
    <t xml:space="preserve">9-May-2024</t>
  </si>
  <si>
    <t xml:space="preserve">136.20</t>
  </si>
  <si>
    <t xml:space="preserve">Layla Walker</t>
  </si>
  <si>
    <t xml:space="preserve">5/4/2025</t>
  </si>
  <si>
    <t xml:space="preserve">89.18</t>
  </si>
  <si>
    <t xml:space="preserve">Daniel King</t>
  </si>
  <si>
    <t xml:space="preserve">3/18/2024</t>
  </si>
  <si>
    <t xml:space="preserve">96.36</t>
  </si>
  <si>
    <t xml:space="preserve">4/29/2024</t>
  </si>
  <si>
    <t xml:space="preserve">37.67</t>
  </si>
  <si>
    <t xml:space="preserve">$177.71</t>
  </si>
  <si>
    <t xml:space="preserve">26-Mar-2024</t>
  </si>
  <si>
    <t xml:space="preserve">$206.62</t>
  </si>
  <si>
    <t xml:space="preserve">Ryan Wilson</t>
  </si>
  <si>
    <t xml:space="preserve">2025-02-25</t>
  </si>
  <si>
    <t xml:space="preserve">55.86</t>
  </si>
  <si>
    <t xml:space="preserve">Layla Nguyen</t>
  </si>
  <si>
    <t xml:space="preserve">19-Apr-2025</t>
  </si>
  <si>
    <t xml:space="preserve">177.79</t>
  </si>
  <si>
    <t xml:space="preserve">Ryan Davis</t>
  </si>
  <si>
    <t xml:space="preserve">39.97</t>
  </si>
  <si>
    <t xml:space="preserve">Zoe Rodriguez</t>
  </si>
  <si>
    <t xml:space="preserve">1/16/2024</t>
  </si>
  <si>
    <t xml:space="preserve">85.52</t>
  </si>
  <si>
    <t xml:space="preserve">Carlos King</t>
  </si>
  <si>
    <t xml:space="preserve">8-Aug-2024</t>
  </si>
  <si>
    <t xml:space="preserve">$170.43</t>
  </si>
  <si>
    <t xml:space="preserve">Ryan Young</t>
  </si>
  <si>
    <t xml:space="preserve">9/9/2024</t>
  </si>
  <si>
    <t xml:space="preserve">79.16</t>
  </si>
  <si>
    <t xml:space="preserve">Ethan Brown</t>
  </si>
  <si>
    <t xml:space="preserve">2024-04-18</t>
  </si>
  <si>
    <t xml:space="preserve">182.47</t>
  </si>
  <si>
    <t xml:space="preserve">Carlos Johnson</t>
  </si>
  <si>
    <t xml:space="preserve">9-Jun-2024</t>
  </si>
  <si>
    <t xml:space="preserve">$175.28</t>
  </si>
  <si>
    <t xml:space="preserve">Maria Wright</t>
  </si>
  <si>
    <t xml:space="preserve">2025-06-11</t>
  </si>
  <si>
    <t xml:space="preserve">92.77</t>
  </si>
  <si>
    <t xml:space="preserve">Owen Smith</t>
  </si>
  <si>
    <t xml:space="preserve">6/30/2025</t>
  </si>
  <si>
    <t xml:space="preserve">202.12</t>
  </si>
  <si>
    <t xml:space="preserve">2024-09-18</t>
  </si>
  <si>
    <t xml:space="preserve">7/22/2024</t>
  </si>
  <si>
    <t xml:space="preserve">$43.66</t>
  </si>
  <si>
    <t xml:space="preserve">Grace Wilson</t>
  </si>
  <si>
    <t xml:space="preserve">2025-06-12</t>
  </si>
  <si>
    <t xml:space="preserve">68.08</t>
  </si>
  <si>
    <t xml:space="preserve">200.69</t>
  </si>
  <si>
    <t xml:space="preserve">2024-08-16</t>
  </si>
  <si>
    <t xml:space="preserve">34.07</t>
  </si>
  <si>
    <t xml:space="preserve">8-Nov-2024</t>
  </si>
  <si>
    <t xml:space="preserve">$183.93</t>
  </si>
  <si>
    <t xml:space="preserve">2024-06-02</t>
  </si>
  <si>
    <t xml:space="preserve">$97.50</t>
  </si>
  <si>
    <t xml:space="preserve">Olivia King</t>
  </si>
  <si>
    <t xml:space="preserve">15-Nov-2024</t>
  </si>
  <si>
    <t xml:space="preserve">$49.85</t>
  </si>
  <si>
    <t xml:space="preserve">Olivia Nguyen</t>
  </si>
  <si>
    <t xml:space="preserve">164.52</t>
  </si>
  <si>
    <t xml:space="preserve">Mia Clark</t>
  </si>
  <si>
    <t xml:space="preserve">$42.60</t>
  </si>
  <si>
    <t xml:space="preserve">Carlos Clark</t>
  </si>
  <si>
    <t xml:space="preserve">7/8/2024</t>
  </si>
  <si>
    <t xml:space="preserve">24.22</t>
  </si>
  <si>
    <t xml:space="preserve">1/9/2025</t>
  </si>
  <si>
    <t xml:space="preserve">$86.10</t>
  </si>
  <si>
    <t xml:space="preserve">2024-05-24</t>
  </si>
  <si>
    <t xml:space="preserve">15-Feb-2024</t>
  </si>
  <si>
    <t xml:space="preserve">99.78</t>
  </si>
  <si>
    <t xml:space="preserve">5/4/2024</t>
  </si>
  <si>
    <t xml:space="preserve">55.52</t>
  </si>
  <si>
    <t xml:space="preserve">Mia Thompson</t>
  </si>
  <si>
    <t xml:space="preserve">1/24/2025</t>
  </si>
  <si>
    <t xml:space="preserve">$36.67</t>
  </si>
  <si>
    <t xml:space="preserve">Ava Nguyen</t>
  </si>
  <si>
    <t xml:space="preserve">4/8/2025</t>
  </si>
  <si>
    <t xml:space="preserve">$18.39</t>
  </si>
  <si>
    <t xml:space="preserve">Grace Martinez</t>
  </si>
  <si>
    <t xml:space="preserve">7/19/2024</t>
  </si>
  <si>
    <t xml:space="preserve">101.11</t>
  </si>
  <si>
    <t xml:space="preserve">Liam Brown</t>
  </si>
  <si>
    <t xml:space="preserve">27-Mar-2025</t>
  </si>
  <si>
    <t xml:space="preserve">92.34</t>
  </si>
  <si>
    <t xml:space="preserve">Mason Martinez</t>
  </si>
  <si>
    <t xml:space="preserve">2024-06-30</t>
  </si>
  <si>
    <t xml:space="preserve">$93.60</t>
  </si>
  <si>
    <t xml:space="preserve">5/3/2024</t>
  </si>
  <si>
    <t xml:space="preserve">$73.82</t>
  </si>
  <si>
    <t xml:space="preserve">2024-03-28</t>
  </si>
  <si>
    <t xml:space="preserve">$67.86</t>
  </si>
  <si>
    <t xml:space="preserve">Mason King</t>
  </si>
  <si>
    <t xml:space="preserve">6-Jan-2024</t>
  </si>
  <si>
    <t xml:space="preserve">41.52</t>
  </si>
  <si>
    <t xml:space="preserve">3/13/2024</t>
  </si>
  <si>
    <t xml:space="preserve">$93.24</t>
  </si>
  <si>
    <t xml:space="preserve">14-Mar-2025</t>
  </si>
  <si>
    <t xml:space="preserve">36.01</t>
  </si>
  <si>
    <t xml:space="preserve">12/20/2024</t>
  </si>
  <si>
    <t xml:space="preserve">61.71</t>
  </si>
  <si>
    <t xml:space="preserve">Maria Hall</t>
  </si>
  <si>
    <t xml:space="preserve">3/26/2024</t>
  </si>
  <si>
    <t xml:space="preserve">20.98</t>
  </si>
  <si>
    <t xml:space="preserve">Noah Clark</t>
  </si>
  <si>
    <t xml:space="preserve">2/22/2024</t>
  </si>
  <si>
    <t xml:space="preserve">$213.43</t>
  </si>
  <si>
    <t xml:space="preserve">Carlos Lee</t>
  </si>
  <si>
    <t xml:space="preserve">19-Apr-2024</t>
  </si>
  <si>
    <t xml:space="preserve">79.36</t>
  </si>
  <si>
    <t xml:space="preserve">Emma Davis</t>
  </si>
  <si>
    <t xml:space="preserve">2024-01-18</t>
  </si>
  <si>
    <t xml:space="preserve">19.47</t>
  </si>
  <si>
    <t xml:space="preserve">Daniel Johnson</t>
  </si>
  <si>
    <t xml:space="preserve">2/23/2025</t>
  </si>
  <si>
    <t xml:space="preserve">75.16</t>
  </si>
  <si>
    <t xml:space="preserve">$69.67</t>
  </si>
  <si>
    <t xml:space="preserve">2-Feb-2025</t>
  </si>
  <si>
    <t xml:space="preserve">93.70</t>
  </si>
  <si>
    <t xml:space="preserve">$88.22</t>
  </si>
  <si>
    <t xml:space="preserve">Zoe Wilson</t>
  </si>
  <si>
    <t xml:space="preserve">1/23/2024</t>
  </si>
  <si>
    <t xml:space="preserve">18.63</t>
  </si>
  <si>
    <t xml:space="preserve">4/23/2024</t>
  </si>
  <si>
    <t xml:space="preserve">57.17</t>
  </si>
  <si>
    <t xml:space="preserve">2024-07-05</t>
  </si>
  <si>
    <t xml:space="preserve">74.61</t>
  </si>
  <si>
    <t xml:space="preserve">Sofia Brown</t>
  </si>
  <si>
    <t xml:space="preserve">231.14</t>
  </si>
  <si>
    <t xml:space="preserve">Maria Clark</t>
  </si>
  <si>
    <t xml:space="preserve">2/18/2024</t>
  </si>
  <si>
    <t xml:space="preserve">210.94</t>
  </si>
  <si>
    <t xml:space="preserve">Daniel Martinez</t>
  </si>
  <si>
    <t xml:space="preserve">23.33</t>
  </si>
  <si>
    <t xml:space="preserve">Olivia Walker</t>
  </si>
  <si>
    <t xml:space="preserve">1/22/2024</t>
  </si>
  <si>
    <t xml:space="preserve">50.91</t>
  </si>
  <si>
    <t xml:space="preserve">Sofia Johnson</t>
  </si>
  <si>
    <t xml:space="preserve">2025-04-18</t>
  </si>
  <si>
    <t xml:space="preserve">$136.25</t>
  </si>
  <si>
    <t xml:space="preserve">2024-06-06</t>
  </si>
  <si>
    <t xml:space="preserve">22.75</t>
  </si>
  <si>
    <t xml:space="preserve">9-Jun-2025</t>
  </si>
  <si>
    <t xml:space="preserve">106.09</t>
  </si>
  <si>
    <t xml:space="preserve">7/25/2024</t>
  </si>
  <si>
    <t xml:space="preserve">$68.44</t>
  </si>
  <si>
    <t xml:space="preserve">1/5/2024</t>
  </si>
  <si>
    <t xml:space="preserve">92.15</t>
  </si>
  <si>
    <t xml:space="preserve">26-Feb-2025</t>
  </si>
  <si>
    <t xml:space="preserve">141.49</t>
  </si>
  <si>
    <t xml:space="preserve">Noah Johnson</t>
  </si>
  <si>
    <t xml:space="preserve">$55.38</t>
  </si>
  <si>
    <t xml:space="preserve">3/3/2024</t>
  </si>
  <si>
    <t xml:space="preserve">82.67</t>
  </si>
  <si>
    <t xml:space="preserve">147.66</t>
  </si>
  <si>
    <t xml:space="preserve">2024-10-13</t>
  </si>
  <si>
    <t xml:space="preserve">28-Jun-2024</t>
  </si>
  <si>
    <t xml:space="preserve">119.50</t>
  </si>
  <si>
    <t xml:space="preserve">12-Feb-2024</t>
  </si>
  <si>
    <t xml:space="preserve">215.90</t>
  </si>
  <si>
    <t xml:space="preserve">Olivia Rodriguez</t>
  </si>
  <si>
    <t xml:space="preserve">12/19/2024</t>
  </si>
  <si>
    <t xml:space="preserve">$19.19</t>
  </si>
  <si>
    <t xml:space="preserve">6-Jun-2024</t>
  </si>
  <si>
    <t xml:space="preserve">73.47</t>
  </si>
  <si>
    <t xml:space="preserve">11/5/2024</t>
  </si>
  <si>
    <t xml:space="preserve">106.21</t>
  </si>
  <si>
    <t xml:space="preserve">Owen King</t>
  </si>
  <si>
    <t xml:space="preserve">76.16</t>
  </si>
  <si>
    <t xml:space="preserve">Aisha Khan</t>
  </si>
  <si>
    <t xml:space="preserve">2025-04-28</t>
  </si>
  <si>
    <t xml:space="preserve">$187.16</t>
  </si>
  <si>
    <t xml:space="preserve">Noah Hall</t>
  </si>
  <si>
    <t xml:space="preserve">24-Jan-2024</t>
  </si>
  <si>
    <t xml:space="preserve">179.34</t>
  </si>
  <si>
    <t xml:space="preserve">28-Apr-2025</t>
  </si>
  <si>
    <t xml:space="preserve">42.18</t>
  </si>
  <si>
    <t xml:space="preserve">56.46</t>
  </si>
  <si>
    <t xml:space="preserve">2024-11-25</t>
  </si>
  <si>
    <t xml:space="preserve">61.06</t>
  </si>
  <si>
    <t xml:space="preserve">1/15/2025</t>
  </si>
  <si>
    <t xml:space="preserve">42.17</t>
  </si>
  <si>
    <t xml:space="preserve">Mason Smith</t>
  </si>
  <si>
    <t xml:space="preserve">2025-05-31</t>
  </si>
  <si>
    <t xml:space="preserve">67.59</t>
  </si>
  <si>
    <t xml:space="preserve">6/26/2024</t>
  </si>
  <si>
    <t xml:space="preserve">$59.17</t>
  </si>
  <si>
    <t xml:space="preserve">188.95</t>
  </si>
  <si>
    <t xml:space="preserve">Noah Wilson</t>
  </si>
  <si>
    <t xml:space="preserve">1/11/2024</t>
  </si>
  <si>
    <t xml:space="preserve">55.72</t>
  </si>
  <si>
    <t xml:space="preserve">Lucas Nguyen</t>
  </si>
  <si>
    <t xml:space="preserve">4/8/2024</t>
  </si>
  <si>
    <t xml:space="preserve">172.53</t>
  </si>
  <si>
    <t xml:space="preserve">39.12</t>
  </si>
  <si>
    <t xml:space="preserve">Owen Allen</t>
  </si>
  <si>
    <t xml:space="preserve">2024-07-21</t>
  </si>
  <si>
    <t xml:space="preserve">$175.47</t>
  </si>
  <si>
    <t xml:space="preserve">Liam Lee</t>
  </si>
  <si>
    <t xml:space="preserve">63.13</t>
  </si>
  <si>
    <t xml:space="preserve">2024-08-03</t>
  </si>
  <si>
    <t xml:space="preserve">21.72</t>
  </si>
  <si>
    <t xml:space="preserve">2025-02-22</t>
  </si>
  <si>
    <t xml:space="preserve">$193.41</t>
  </si>
  <si>
    <t xml:space="preserve">3/2/2025</t>
  </si>
  <si>
    <t xml:space="preserve">172.79</t>
  </si>
  <si>
    <t xml:space="preserve">30-May-2025</t>
  </si>
  <si>
    <t xml:space="preserve">65.12</t>
  </si>
  <si>
    <t xml:space="preserve">2/28/2024</t>
  </si>
  <si>
    <t xml:space="preserve">150.71</t>
  </si>
  <si>
    <t xml:space="preserve">James Clark</t>
  </si>
  <si>
    <t xml:space="preserve">12/9/2024</t>
  </si>
  <si>
    <t xml:space="preserve">$84.33</t>
  </si>
  <si>
    <t xml:space="preserve">Ethan Rodriguez</t>
  </si>
  <si>
    <t xml:space="preserve">22-Feb-2024</t>
  </si>
  <si>
    <t xml:space="preserve">168.80</t>
  </si>
  <si>
    <t xml:space="preserve">James Martinez</t>
  </si>
  <si>
    <t xml:space="preserve">180.98</t>
  </si>
  <si>
    <t xml:space="preserve">5/3/2025</t>
  </si>
  <si>
    <t xml:space="preserve">$192.35</t>
  </si>
  <si>
    <t xml:space="preserve">6-Mar-2024</t>
  </si>
  <si>
    <t xml:space="preserve">60.75</t>
  </si>
  <si>
    <t xml:space="preserve">Ava Lee</t>
  </si>
  <si>
    <t xml:space="preserve">2024-05-11</t>
  </si>
  <si>
    <t xml:space="preserve">$83.65</t>
  </si>
  <si>
    <t xml:space="preserve">2/23/2024</t>
  </si>
  <si>
    <t xml:space="preserve">$23.82</t>
  </si>
  <si>
    <t xml:space="preserve">37.78</t>
  </si>
  <si>
    <t xml:space="preserve">Maria Thompson</t>
  </si>
  <si>
    <t xml:space="preserve">2025-05-10</t>
  </si>
  <si>
    <t xml:space="preserve">41.49</t>
  </si>
  <si>
    <t xml:space="preserve">Layla Wilson</t>
  </si>
  <si>
    <t xml:space="preserve">153.14</t>
  </si>
  <si>
    <t xml:space="preserve">Mason Hall</t>
  </si>
  <si>
    <t xml:space="preserve">83.23</t>
  </si>
  <si>
    <t xml:space="preserve">$36.75</t>
  </si>
  <si>
    <t xml:space="preserve">Aisha Thompson</t>
  </si>
  <si>
    <t xml:space="preserve">174.97</t>
  </si>
  <si>
    <t xml:space="preserve">Ryan Hall</t>
  </si>
  <si>
    <t xml:space="preserve">18-Mar-2025</t>
  </si>
  <si>
    <t xml:space="preserve">197.93</t>
  </si>
  <si>
    <t xml:space="preserve">Sofia Smith</t>
  </si>
  <si>
    <t xml:space="preserve">2025-01-06</t>
  </si>
  <si>
    <t xml:space="preserve">41.62</t>
  </si>
  <si>
    <t xml:space="preserve">30-Jan-2025</t>
  </si>
  <si>
    <t xml:space="preserve">87.67</t>
  </si>
  <si>
    <t xml:space="preserve">Owen Wilson</t>
  </si>
  <si>
    <t xml:space="preserve">8/26/2024</t>
  </si>
  <si>
    <t xml:space="preserve">79.76</t>
  </si>
  <si>
    <t xml:space="preserve">Emma Allen</t>
  </si>
  <si>
    <t xml:space="preserve">12/2/2024</t>
  </si>
  <si>
    <t xml:space="preserve">157.08</t>
  </si>
  <si>
    <t xml:space="preserve">Mia Garcia</t>
  </si>
  <si>
    <t xml:space="preserve">4-Mar-2024</t>
  </si>
  <si>
    <t xml:space="preserve">147.78</t>
  </si>
  <si>
    <t xml:space="preserve">$63.95</t>
  </si>
  <si>
    <t xml:space="preserve">Ryan Rodriguez</t>
  </si>
  <si>
    <t xml:space="preserve">$77.78</t>
  </si>
  <si>
    <t xml:space="preserve">12-May-2024</t>
  </si>
  <si>
    <t xml:space="preserve">$217.67</t>
  </si>
  <si>
    <t xml:space="preserve">2024-12-28</t>
  </si>
  <si>
    <t xml:space="preserve">24.91</t>
  </si>
  <si>
    <t xml:space="preserve">Daniel Thompson</t>
  </si>
  <si>
    <t xml:space="preserve">3/20/2024</t>
  </si>
  <si>
    <t xml:space="preserve">$189.59</t>
  </si>
  <si>
    <t xml:space="preserve">5-Jul-2024</t>
  </si>
  <si>
    <t xml:space="preserve">93.48</t>
  </si>
  <si>
    <t xml:space="preserve">6/2/2024</t>
  </si>
  <si>
    <t xml:space="preserve">174.34</t>
  </si>
  <si>
    <t xml:space="preserve">Daniel Young</t>
  </si>
  <si>
    <t xml:space="preserve">5/12/2025</t>
  </si>
  <si>
    <t xml:space="preserve">$54.29</t>
  </si>
  <si>
    <t xml:space="preserve">2025-06-15</t>
  </si>
  <si>
    <t xml:space="preserve">$85.21</t>
  </si>
  <si>
    <t xml:space="preserve">2/8/2025</t>
  </si>
  <si>
    <t xml:space="preserve">40.93</t>
  </si>
  <si>
    <t xml:space="preserve">Noah Young</t>
  </si>
  <si>
    <t xml:space="preserve">26-Dec-2024</t>
  </si>
  <si>
    <t xml:space="preserve">169.32</t>
  </si>
  <si>
    <t xml:space="preserve">Ava Young</t>
  </si>
  <si>
    <t xml:space="preserve">2025-04-29</t>
  </si>
  <si>
    <t xml:space="preserve">6/25/2025</t>
  </si>
  <si>
    <t xml:space="preserve">95.82</t>
  </si>
  <si>
    <t xml:space="preserve">Sofia Khan</t>
  </si>
  <si>
    <t xml:space="preserve">25-Jun-2025</t>
  </si>
  <si>
    <t xml:space="preserve">$75.35</t>
  </si>
  <si>
    <t xml:space="preserve">Mason Davis</t>
  </si>
  <si>
    <t xml:space="preserve">22-May-2024</t>
  </si>
  <si>
    <t xml:space="preserve">$83.97</t>
  </si>
  <si>
    <t xml:space="preserve">Olivia Hall</t>
  </si>
  <si>
    <t xml:space="preserve">10-Mar-2025</t>
  </si>
  <si>
    <t xml:space="preserve">$82.28</t>
  </si>
  <si>
    <t xml:space="preserve">4/17/2024</t>
  </si>
  <si>
    <t xml:space="preserve">227.97</t>
  </si>
  <si>
    <t xml:space="preserve">146.56</t>
  </si>
  <si>
    <t xml:space="preserve">$72.29</t>
  </si>
  <si>
    <t xml:space="preserve">Layla Clark</t>
  </si>
  <si>
    <t xml:space="preserve">2025-04-08</t>
  </si>
  <si>
    <t xml:space="preserve">102.18</t>
  </si>
  <si>
    <t xml:space="preserve">63.00</t>
  </si>
  <si>
    <t xml:space="preserve">5/14/2024</t>
  </si>
  <si>
    <t xml:space="preserve">39.04</t>
  </si>
  <si>
    <t xml:space="preserve">Mason Walker</t>
  </si>
  <si>
    <t xml:space="preserve">2024-05-14</t>
  </si>
  <si>
    <t xml:space="preserve">20.29</t>
  </si>
  <si>
    <t xml:space="preserve">2025-04-17</t>
  </si>
  <si>
    <t xml:space="preserve">48.38</t>
  </si>
  <si>
    <t xml:space="preserve">Carlos Rossi</t>
  </si>
  <si>
    <t xml:space="preserve">2/11/2024</t>
  </si>
  <si>
    <t xml:space="preserve">93.74</t>
  </si>
  <si>
    <t xml:space="preserve">5/21/2025</t>
  </si>
  <si>
    <t xml:space="preserve">$79.27</t>
  </si>
  <si>
    <t xml:space="preserve">7/24/2024</t>
  </si>
  <si>
    <t xml:space="preserve">$98.61</t>
  </si>
  <si>
    <t xml:space="preserve">2024-07-27</t>
  </si>
  <si>
    <t xml:space="preserve">$45.45</t>
  </si>
  <si>
    <t xml:space="preserve">Ryan Garcia</t>
  </si>
  <si>
    <t xml:space="preserve">10/2/2024</t>
  </si>
  <si>
    <t xml:space="preserve">132.54</t>
  </si>
  <si>
    <t xml:space="preserve">Ryan King</t>
  </si>
  <si>
    <t xml:space="preserve">3/30/2024</t>
  </si>
  <si>
    <t xml:space="preserve">$85.07</t>
  </si>
  <si>
    <t xml:space="preserve">$84.49</t>
  </si>
  <si>
    <t xml:space="preserve">Carlos Davis</t>
  </si>
  <si>
    <t xml:space="preserve">15-Dec-2024</t>
  </si>
  <si>
    <t xml:space="preserve">153.68</t>
  </si>
  <si>
    <t xml:space="preserve">4/28/2024</t>
  </si>
  <si>
    <t xml:space="preserve">183.34</t>
  </si>
  <si>
    <t xml:space="preserve">Lucas Johnson</t>
  </si>
  <si>
    <t xml:space="preserve">2024-05-21</t>
  </si>
  <si>
    <t xml:space="preserve">35.42</t>
  </si>
  <si>
    <t xml:space="preserve">2024-06-08</t>
  </si>
  <si>
    <t xml:space="preserve">$19.43</t>
  </si>
  <si>
    <t xml:space="preserve">Noah Brown</t>
  </si>
  <si>
    <t xml:space="preserve">2024-09-22</t>
  </si>
  <si>
    <t xml:space="preserve">$82.01</t>
  </si>
  <si>
    <t xml:space="preserve">214.73</t>
  </si>
  <si>
    <t xml:space="preserve">2025-03-30</t>
  </si>
  <si>
    <t xml:space="preserve">$154.60</t>
  </si>
  <si>
    <t xml:space="preserve">2024-05-26</t>
  </si>
  <si>
    <t xml:space="preserve">68.37</t>
  </si>
  <si>
    <t xml:space="preserve">Mason Rossi</t>
  </si>
  <si>
    <t xml:space="preserve">6/17/2024</t>
  </si>
  <si>
    <t xml:space="preserve">67.31</t>
  </si>
  <si>
    <t xml:space="preserve">Zoe King</t>
  </si>
  <si>
    <t xml:space="preserve">2024-06-12</t>
  </si>
  <si>
    <t xml:space="preserve">141.84</t>
  </si>
  <si>
    <t xml:space="preserve">28-May-2024</t>
  </si>
  <si>
    <t xml:space="preserve">$196.49</t>
  </si>
  <si>
    <t xml:space="preserve">52.82</t>
  </si>
  <si>
    <t xml:space="preserve">Ava Allen</t>
  </si>
  <si>
    <t xml:space="preserve">18-Sep-2024</t>
  </si>
  <si>
    <t xml:space="preserve">$159.18</t>
  </si>
  <si>
    <t xml:space="preserve">8/31/2024</t>
  </si>
  <si>
    <t xml:space="preserve">Owen Rossi</t>
  </si>
  <si>
    <t xml:space="preserve">15-Mar-2024</t>
  </si>
  <si>
    <t xml:space="preserve">$142.04</t>
  </si>
  <si>
    <t xml:space="preserve">2024-07-06</t>
  </si>
  <si>
    <t xml:space="preserve">$177.16</t>
  </si>
  <si>
    <t xml:space="preserve">Mia Brown</t>
  </si>
  <si>
    <t xml:space="preserve">23-Feb-2024</t>
  </si>
  <si>
    <t xml:space="preserve">58.13</t>
  </si>
  <si>
    <t xml:space="preserve">82.95</t>
  </si>
  <si>
    <t xml:space="preserve">Layla Johnson</t>
  </si>
  <si>
    <t xml:space="preserve">$26.30</t>
  </si>
  <si>
    <t xml:space="preserve">10-Feb-2024</t>
  </si>
  <si>
    <t xml:space="preserve">$98.59</t>
  </si>
  <si>
    <t xml:space="preserve">27-May-2024</t>
  </si>
  <si>
    <t xml:space="preserve">$19.55</t>
  </si>
  <si>
    <t xml:space="preserve">128.33</t>
  </si>
  <si>
    <t xml:space="preserve">2025-05-30</t>
  </si>
  <si>
    <t xml:space="preserve">$117.87</t>
  </si>
  <si>
    <t xml:space="preserve">2025-04-15</t>
  </si>
  <si>
    <t xml:space="preserve">$195.66</t>
  </si>
  <si>
    <t xml:space="preserve">5/7/2025</t>
  </si>
  <si>
    <t xml:space="preserve">$74.47</t>
  </si>
  <si>
    <t xml:space="preserve">2024-07-22</t>
  </si>
  <si>
    <t xml:space="preserve">84.38</t>
  </si>
  <si>
    <t xml:space="preserve">5/30/2024</t>
  </si>
  <si>
    <t xml:space="preserve">$66.91</t>
  </si>
  <si>
    <t xml:space="preserve">5/10/2025</t>
  </si>
  <si>
    <t xml:space="preserve">$60.30</t>
  </si>
  <si>
    <t xml:space="preserve">Maria Davis</t>
  </si>
  <si>
    <t xml:space="preserve">56.64</t>
  </si>
  <si>
    <t xml:space="preserve">Liam Khan</t>
  </si>
  <si>
    <t xml:space="preserve">23.82</t>
  </si>
  <si>
    <t xml:space="preserve">98.85</t>
  </si>
  <si>
    <t xml:space="preserve">Olivia Brown</t>
  </si>
  <si>
    <t xml:space="preserve">10/29/2024</t>
  </si>
  <si>
    <t xml:space="preserve">73.76</t>
  </si>
  <si>
    <t xml:space="preserve">Sofia Rodriguez</t>
  </si>
  <si>
    <t xml:space="preserve">58.23</t>
  </si>
  <si>
    <t xml:space="preserve">Emma Khan</t>
  </si>
  <si>
    <t xml:space="preserve">28-Feb-2024</t>
  </si>
  <si>
    <t xml:space="preserve">71.65</t>
  </si>
  <si>
    <t xml:space="preserve">Sofia Walker</t>
  </si>
  <si>
    <t xml:space="preserve">2025-06-16</t>
  </si>
  <si>
    <t xml:space="preserve">139.49</t>
  </si>
  <si>
    <t xml:space="preserve">Mia Nguyen</t>
  </si>
  <si>
    <t xml:space="preserve">2025-02-07</t>
  </si>
  <si>
    <t xml:space="preserve">$24.98</t>
  </si>
  <si>
    <t xml:space="preserve">6/19/2025</t>
  </si>
  <si>
    <t xml:space="preserve">53.67</t>
  </si>
  <si>
    <t xml:space="preserve">10/26/2024</t>
  </si>
  <si>
    <t xml:space="preserve">207.58</t>
  </si>
  <si>
    <t xml:space="preserve">9-Jan-2025</t>
  </si>
  <si>
    <t xml:space="preserve">91.04</t>
  </si>
  <si>
    <t xml:space="preserve">Zoe Rossi</t>
  </si>
  <si>
    <t xml:space="preserve">2/27/2024</t>
  </si>
  <si>
    <t xml:space="preserve">202.32</t>
  </si>
  <si>
    <t xml:space="preserve">Maria Lee</t>
  </si>
  <si>
    <t xml:space="preserve">3-Oct-2024</t>
  </si>
  <si>
    <t xml:space="preserve">105.19</t>
  </si>
  <si>
    <t xml:space="preserve">Maria Garcia</t>
  </si>
  <si>
    <t xml:space="preserve">$84.11</t>
  </si>
  <si>
    <t xml:space="preserve">29-Jul-2024</t>
  </si>
  <si>
    <t xml:space="preserve">$48.63</t>
  </si>
  <si>
    <t xml:space="preserve">2025-02-09</t>
  </si>
  <si>
    <t xml:space="preserve">$140.04</t>
  </si>
  <si>
    <t xml:space="preserve">60.08</t>
  </si>
  <si>
    <t xml:space="preserve">Noah Allen</t>
  </si>
  <si>
    <t xml:space="preserve">2024-12-16</t>
  </si>
  <si>
    <t xml:space="preserve">19.34</t>
  </si>
  <si>
    <t xml:space="preserve">2024-01-02</t>
  </si>
  <si>
    <t xml:space="preserve">51.83</t>
  </si>
  <si>
    <t xml:space="preserve">James Garcia</t>
  </si>
  <si>
    <t xml:space="preserve">2024-09-26</t>
  </si>
  <si>
    <t xml:space="preserve">139.63</t>
  </si>
  <si>
    <t xml:space="preserve">7/28/2024</t>
  </si>
  <si>
    <t xml:space="preserve">205.67</t>
  </si>
  <si>
    <t xml:space="preserve">Zoe Martinez</t>
  </si>
  <si>
    <t xml:space="preserve">174.64</t>
  </si>
  <si>
    <t xml:space="preserve">2025-02-04</t>
  </si>
  <si>
    <t xml:space="preserve">17.99</t>
  </si>
  <si>
    <t xml:space="preserve">Liam Martinez</t>
  </si>
  <si>
    <t xml:space="preserve">1/28/2024</t>
  </si>
  <si>
    <t xml:space="preserve">41.00</t>
  </si>
  <si>
    <t xml:space="preserve">8-Mar-2024</t>
  </si>
  <si>
    <t xml:space="preserve">$140.93</t>
  </si>
  <si>
    <t xml:space="preserve">100.95</t>
  </si>
  <si>
    <t xml:space="preserve">12/1/2024</t>
  </si>
  <si>
    <t xml:space="preserve">199.83</t>
  </si>
  <si>
    <t xml:space="preserve">$74.57</t>
  </si>
  <si>
    <t xml:space="preserve">19-Oct-2024</t>
  </si>
  <si>
    <t xml:space="preserve">$69.16</t>
  </si>
  <si>
    <t xml:space="preserve">2/25/2024</t>
  </si>
  <si>
    <t xml:space="preserve">90.63</t>
  </si>
  <si>
    <t xml:space="preserve">Emma Lee</t>
  </si>
  <si>
    <t xml:space="preserve">2024-11-19</t>
  </si>
  <si>
    <t xml:space="preserve">193.50</t>
  </si>
  <si>
    <t xml:space="preserve">5/22/2024</t>
  </si>
  <si>
    <t xml:space="preserve">26.31</t>
  </si>
  <si>
    <t xml:space="preserve">Maria Rodriguez</t>
  </si>
  <si>
    <t xml:space="preserve">107.93</t>
  </si>
  <si>
    <t xml:space="preserve">Ethan Wright</t>
  </si>
  <si>
    <t xml:space="preserve">2025-05-26</t>
  </si>
  <si>
    <t xml:space="preserve">$50.57</t>
  </si>
  <si>
    <t xml:space="preserve">2025-03-23</t>
  </si>
  <si>
    <t xml:space="preserve">81.68</t>
  </si>
  <si>
    <t xml:space="preserve">2025-05-23</t>
  </si>
  <si>
    <t xml:space="preserve">89.96</t>
  </si>
  <si>
    <t xml:space="preserve">Ava Garcia</t>
  </si>
  <si>
    <t xml:space="preserve">2024-07-25</t>
  </si>
  <si>
    <t xml:space="preserve">$212.17</t>
  </si>
  <si>
    <t xml:space="preserve">Carlos Martinez</t>
  </si>
  <si>
    <t xml:space="preserve">2025-06-28</t>
  </si>
  <si>
    <t xml:space="preserve">39.11</t>
  </si>
  <si>
    <t xml:space="preserve">Owen Johnson</t>
  </si>
  <si>
    <t xml:space="preserve">2025-03-20</t>
  </si>
  <si>
    <t xml:space="preserve">60.59</t>
  </si>
  <si>
    <t xml:space="preserve">22.89</t>
  </si>
  <si>
    <t xml:space="preserve">2025-06-20</t>
  </si>
  <si>
    <t xml:space="preserve">26.43</t>
  </si>
  <si>
    <t xml:space="preserve">$215.10</t>
  </si>
  <si>
    <t xml:space="preserve">2025-06-26</t>
  </si>
  <si>
    <t xml:space="preserve">55.32</t>
  </si>
  <si>
    <t xml:space="preserve">Liam Young</t>
  </si>
  <si>
    <t xml:space="preserve">2024-04-04</t>
  </si>
  <si>
    <t xml:space="preserve">$39.72</t>
  </si>
  <si>
    <t xml:space="preserve">2024-10-30</t>
  </si>
  <si>
    <t xml:space="preserve">197.60</t>
  </si>
  <si>
    <t xml:space="preserve">4/18/2025</t>
  </si>
  <si>
    <t xml:space="preserve">188.70</t>
  </si>
  <si>
    <t xml:space="preserve">2025-04-25</t>
  </si>
  <si>
    <t xml:space="preserve">54.46</t>
  </si>
  <si>
    <t xml:space="preserve">Aisha Young</t>
  </si>
  <si>
    <t xml:space="preserve">10/17/2024</t>
  </si>
  <si>
    <t xml:space="preserve">2025-04-01</t>
  </si>
  <si>
    <t xml:space="preserve">$37.67</t>
  </si>
  <si>
    <t xml:space="preserve">Owen Clark</t>
  </si>
  <si>
    <t xml:space="preserve">38.03</t>
  </si>
  <si>
    <t xml:space="preserve">2025-01-08</t>
  </si>
  <si>
    <t xml:space="preserve">$136.74</t>
  </si>
  <si>
    <t xml:space="preserve">James King</t>
  </si>
  <si>
    <t xml:space="preserve">23-Mar-2025</t>
  </si>
  <si>
    <t xml:space="preserve">$20.17</t>
  </si>
  <si>
    <t xml:space="preserve">$150.89</t>
  </si>
  <si>
    <t xml:space="preserve">2025-04-02</t>
  </si>
  <si>
    <t xml:space="preserve">37.25</t>
  </si>
  <si>
    <t xml:space="preserve">Daniel Wilson</t>
  </si>
  <si>
    <t xml:space="preserve">183.24</t>
  </si>
  <si>
    <t xml:space="preserve">Sofia Wilson</t>
  </si>
  <si>
    <t xml:space="preserve">2/26/2024</t>
  </si>
  <si>
    <t xml:space="preserve">170.66</t>
  </si>
  <si>
    <t xml:space="preserve">2024-05-28</t>
  </si>
  <si>
    <t xml:space="preserve">$66.16</t>
  </si>
  <si>
    <t xml:space="preserve">2024-12-24</t>
  </si>
  <si>
    <t xml:space="preserve">$137.71</t>
  </si>
  <si>
    <t xml:space="preserve">59.00</t>
  </si>
  <si>
    <t xml:space="preserve">5/28/2024</t>
  </si>
  <si>
    <t xml:space="preserve">$178.45</t>
  </si>
  <si>
    <t xml:space="preserve">17-May-2024</t>
  </si>
  <si>
    <t xml:space="preserve">78.49</t>
  </si>
  <si>
    <t xml:space="preserve">Daniel Garcia</t>
  </si>
  <si>
    <t xml:space="preserve">5/17/2025</t>
  </si>
  <si>
    <t xml:space="preserve">$33.98</t>
  </si>
  <si>
    <t xml:space="preserve">$85.71</t>
  </si>
  <si>
    <t xml:space="preserve">Noah Walker</t>
  </si>
  <si>
    <t xml:space="preserve">2025-05-08</t>
  </si>
  <si>
    <t xml:space="preserve">58.73</t>
  </si>
  <si>
    <t xml:space="preserve">12-Jan-2025</t>
  </si>
  <si>
    <t xml:space="preserve">$240.85</t>
  </si>
  <si>
    <t xml:space="preserve">2024-01-22</t>
  </si>
  <si>
    <t xml:space="preserve">62.47</t>
  </si>
  <si>
    <t xml:space="preserve">Grace Brown</t>
  </si>
  <si>
    <t xml:space="preserve">2024-04-17</t>
  </si>
  <si>
    <t xml:space="preserve">227.25</t>
  </si>
  <si>
    <t xml:space="preserve">2024-12-12</t>
  </si>
  <si>
    <t xml:space="preserve">218.28</t>
  </si>
  <si>
    <t xml:space="preserve">Zoe Lee</t>
  </si>
  <si>
    <t xml:space="preserve">5/23/2024</t>
  </si>
  <si>
    <t xml:space="preserve">91.18</t>
  </si>
  <si>
    <t xml:space="preserve">Olivia Clark</t>
  </si>
  <si>
    <t xml:space="preserve">7/4/2024</t>
  </si>
  <si>
    <t xml:space="preserve">200.22</t>
  </si>
  <si>
    <t xml:space="preserve">Ethan Johnson</t>
  </si>
  <si>
    <t xml:space="preserve">3/16/2024</t>
  </si>
  <si>
    <t xml:space="preserve">163.28</t>
  </si>
  <si>
    <t xml:space="preserve">1/13/2025</t>
  </si>
  <si>
    <t xml:space="preserve">$118.65</t>
  </si>
  <si>
    <t xml:space="preserve">2024-06-11</t>
  </si>
  <si>
    <t xml:space="preserve">36.55</t>
  </si>
  <si>
    <t xml:space="preserve">Carlos Hall</t>
  </si>
  <si>
    <t xml:space="preserve">18-Oct-2024</t>
  </si>
  <si>
    <t xml:space="preserve">195.17</t>
  </si>
  <si>
    <t xml:space="preserve">2025-02-10</t>
  </si>
  <si>
    <t xml:space="preserve">90.10</t>
  </si>
  <si>
    <t xml:space="preserve">15-Feb-2025</t>
  </si>
  <si>
    <t xml:space="preserve">60.44</t>
  </si>
  <si>
    <t xml:space="preserve">Liam Davis</t>
  </si>
  <si>
    <t xml:space="preserve">28.06</t>
  </si>
  <si>
    <t xml:space="preserve">2025-05-01</t>
  </si>
  <si>
    <t xml:space="preserve">$72.97</t>
  </si>
  <si>
    <t xml:space="preserve">Zoe Clark</t>
  </si>
  <si>
    <t xml:space="preserve">33.72</t>
  </si>
  <si>
    <t xml:space="preserve">65.32</t>
  </si>
  <si>
    <t xml:space="preserve">Mason Wright</t>
  </si>
  <si>
    <t xml:space="preserve">78.61</t>
  </si>
  <si>
    <t xml:space="preserve">31-Aug-2024</t>
  </si>
  <si>
    <t xml:space="preserve">$99.00</t>
  </si>
  <si>
    <t xml:space="preserve">2024-03-26</t>
  </si>
  <si>
    <t xml:space="preserve">26.84</t>
  </si>
  <si>
    <t xml:space="preserve">4/25/2025</t>
  </si>
  <si>
    <t xml:space="preserve">74.70</t>
  </si>
  <si>
    <t xml:space="preserve">31-May-2025</t>
  </si>
  <si>
    <t xml:space="preserve">178.36</t>
  </si>
  <si>
    <t xml:space="preserve">5/6/2024</t>
  </si>
  <si>
    <t xml:space="preserve">85.02</t>
  </si>
  <si>
    <t xml:space="preserve">Ava Davis</t>
  </si>
  <si>
    <t xml:space="preserve">8/27/2024</t>
  </si>
  <si>
    <t xml:space="preserve">27.32</t>
  </si>
  <si>
    <t xml:space="preserve">Emma Brown</t>
  </si>
  <si>
    <t xml:space="preserve">23-Aug-2024</t>
  </si>
  <si>
    <t xml:space="preserve">79.89</t>
  </si>
  <si>
    <t xml:space="preserve">Grace Smith</t>
  </si>
  <si>
    <t xml:space="preserve">2025-03-31</t>
  </si>
  <si>
    <t xml:space="preserve">22.66</t>
  </si>
  <si>
    <t xml:space="preserve">9-Nov-2024</t>
  </si>
  <si>
    <t xml:space="preserve">Lucas Davis</t>
  </si>
  <si>
    <t xml:space="preserve">159.87</t>
  </si>
  <si>
    <t xml:space="preserve">9/7/2024</t>
  </si>
  <si>
    <t xml:space="preserve">$142.57</t>
  </si>
  <si>
    <t xml:space="preserve">2024-12-10</t>
  </si>
  <si>
    <t xml:space="preserve">240.18</t>
  </si>
  <si>
    <t xml:space="preserve">Carlos Wilson</t>
  </si>
  <si>
    <t xml:space="preserve">183.37</t>
  </si>
  <si>
    <t xml:space="preserve">11/18/2024</t>
  </si>
  <si>
    <t xml:space="preserve">$87.74</t>
  </si>
  <si>
    <t xml:space="preserve">2025-01-25</t>
  </si>
  <si>
    <t xml:space="preserve">75.39</t>
  </si>
  <si>
    <t xml:space="preserve">22-Jan-2025</t>
  </si>
  <si>
    <t xml:space="preserve">77.98</t>
  </si>
  <si>
    <t xml:space="preserve">Lucas Rossi</t>
  </si>
  <si>
    <t xml:space="preserve">20-May-2024</t>
  </si>
  <si>
    <t xml:space="preserve">70.17</t>
  </si>
  <si>
    <t xml:space="preserve">Liam Clark</t>
  </si>
  <si>
    <t xml:space="preserve">82.05</t>
  </si>
  <si>
    <t xml:space="preserve">2025-03-28</t>
  </si>
  <si>
    <t xml:space="preserve">72.25</t>
  </si>
  <si>
    <t xml:space="preserve">$90.81</t>
  </si>
  <si>
    <t xml:space="preserve">3/19/2025</t>
  </si>
  <si>
    <t xml:space="preserve">39.52</t>
  </si>
  <si>
    <t xml:space="preserve">Mason Lee</t>
  </si>
  <si>
    <t xml:space="preserve">$144.35</t>
  </si>
  <si>
    <t xml:space="preserve">34.69</t>
  </si>
  <si>
    <t xml:space="preserve">2025-04-07</t>
  </si>
  <si>
    <t xml:space="preserve">82.56</t>
  </si>
  <si>
    <t xml:space="preserve">11/27/2024</t>
  </si>
  <si>
    <t xml:space="preserve">53.34</t>
  </si>
  <si>
    <t xml:space="preserve">215.40</t>
  </si>
  <si>
    <t xml:space="preserve">Carlos Rodriguez</t>
  </si>
  <si>
    <t xml:space="preserve">23-Feb-2025</t>
  </si>
  <si>
    <t xml:space="preserve">$76.31</t>
  </si>
  <si>
    <t xml:space="preserve">Owen Young</t>
  </si>
  <si>
    <t xml:space="preserve">67.58</t>
  </si>
  <si>
    <t xml:space="preserve">2025-03-12</t>
  </si>
  <si>
    <t xml:space="preserve">32.90</t>
  </si>
  <si>
    <t xml:space="preserve">2024-12-01</t>
  </si>
  <si>
    <t xml:space="preserve">50.86</t>
  </si>
  <si>
    <t xml:space="preserve">178.87</t>
  </si>
  <si>
    <t xml:space="preserve">10/28/2024</t>
  </si>
  <si>
    <t xml:space="preserve">$87.08</t>
  </si>
  <si>
    <t xml:space="preserve">Sofia Davis</t>
  </si>
  <si>
    <t xml:space="preserve">10-Jan-2025</t>
  </si>
  <si>
    <t xml:space="preserve">$70.80</t>
  </si>
  <si>
    <t xml:space="preserve">74.05</t>
  </si>
  <si>
    <t xml:space="preserve">4/24/2024</t>
  </si>
  <si>
    <t xml:space="preserve">$79.03</t>
  </si>
  <si>
    <t xml:space="preserve">13-Dec-2024</t>
  </si>
  <si>
    <t xml:space="preserve">$91.41</t>
  </si>
  <si>
    <t xml:space="preserve">Ethan Smith</t>
  </si>
  <si>
    <t xml:space="preserve">2025-02-14</t>
  </si>
  <si>
    <t xml:space="preserve">54.38</t>
  </si>
  <si>
    <t xml:space="preserve">Maria Nguyen</t>
  </si>
  <si>
    <t xml:space="preserve">2024-05-06</t>
  </si>
  <si>
    <t xml:space="preserve">120.43</t>
  </si>
  <si>
    <t xml:space="preserve">1-Jan-2024</t>
  </si>
  <si>
    <t xml:space="preserve">72.22</t>
  </si>
  <si>
    <t xml:space="preserve">71.34</t>
  </si>
  <si>
    <t xml:space="preserve">11/24/2024</t>
  </si>
  <si>
    <t xml:space="preserve">63.52</t>
  </si>
  <si>
    <t xml:space="preserve">17-Dec-2024</t>
  </si>
  <si>
    <t xml:space="preserve">21.83</t>
  </si>
  <si>
    <t xml:space="preserve">4/6/2024</t>
  </si>
  <si>
    <t xml:space="preserve">45.32</t>
  </si>
  <si>
    <t xml:space="preserve">7/7/2024</t>
  </si>
  <si>
    <t xml:space="preserve">225.74</t>
  </si>
  <si>
    <t xml:space="preserve">2024-11-06</t>
  </si>
  <si>
    <t xml:space="preserve">2024-09-14</t>
  </si>
  <si>
    <t xml:space="preserve">$95.23</t>
  </si>
  <si>
    <t xml:space="preserve">Mia Young</t>
  </si>
  <si>
    <t xml:space="preserve">2024-01-01</t>
  </si>
  <si>
    <t xml:space="preserve">24.04</t>
  </si>
  <si>
    <t xml:space="preserve">14-May-2024</t>
  </si>
  <si>
    <t xml:space="preserve">68.49</t>
  </si>
  <si>
    <t xml:space="preserve">2/13/2025</t>
  </si>
  <si>
    <t xml:space="preserve">$83.60</t>
  </si>
  <si>
    <t xml:space="preserve">6/22/2025</t>
  </si>
  <si>
    <t xml:space="preserve">171.39</t>
  </si>
  <si>
    <t xml:space="preserve">Ryan Rossi</t>
  </si>
  <si>
    <t xml:space="preserve">2025-04-03</t>
  </si>
  <si>
    <t xml:space="preserve">118.84</t>
  </si>
  <si>
    <t xml:space="preserve">2024-11-07</t>
  </si>
  <si>
    <t xml:space="preserve">73.62</t>
  </si>
  <si>
    <t xml:space="preserve">13-May-2025</t>
  </si>
  <si>
    <t xml:space="preserve">69.16</t>
  </si>
  <si>
    <t xml:space="preserve">9/27/2024</t>
  </si>
  <si>
    <t xml:space="preserve">175.67</t>
  </si>
  <si>
    <t xml:space="preserve">8/15/2024</t>
  </si>
  <si>
    <t xml:space="preserve">$87.29</t>
  </si>
  <si>
    <t xml:space="preserve">4-May-2024</t>
  </si>
  <si>
    <t xml:space="preserve">$173.89</t>
  </si>
  <si>
    <t xml:space="preserve">45.39</t>
  </si>
  <si>
    <t xml:space="preserve">2024-10-12</t>
  </si>
  <si>
    <t xml:space="preserve">209.90</t>
  </si>
  <si>
    <t xml:space="preserve">96.08</t>
  </si>
  <si>
    <t xml:space="preserve">$60.02</t>
  </si>
  <si>
    <t xml:space="preserve">27-Jul-2024</t>
  </si>
  <si>
    <t xml:space="preserve">$75.73</t>
  </si>
  <si>
    <t xml:space="preserve">2024-09-28</t>
  </si>
  <si>
    <t xml:space="preserve">$63.65</t>
  </si>
  <si>
    <t xml:space="preserve">4-Dec-2024</t>
  </si>
  <si>
    <t xml:space="preserve">$90.46</t>
  </si>
  <si>
    <t xml:space="preserve">27-Jan-2024</t>
  </si>
  <si>
    <t xml:space="preserve">204.69</t>
  </si>
  <si>
    <t xml:space="preserve">198.07</t>
  </si>
  <si>
    <t xml:space="preserve">9/11/2024</t>
  </si>
  <si>
    <t xml:space="preserve">75.10</t>
  </si>
  <si>
    <t xml:space="preserve">102.39</t>
  </si>
  <si>
    <t xml:space="preserve">Layla Davis</t>
  </si>
  <si>
    <t xml:space="preserve">20-Nov-2024</t>
  </si>
  <si>
    <t xml:space="preserve">148.14</t>
  </si>
  <si>
    <t xml:space="preserve">$101.62</t>
  </si>
  <si>
    <t xml:space="preserve">2024-11-09</t>
  </si>
  <si>
    <t xml:space="preserve">2024-03-30</t>
  </si>
  <si>
    <t xml:space="preserve">$147.84</t>
  </si>
  <si>
    <t xml:space="preserve">6/14/2025</t>
  </si>
  <si>
    <t xml:space="preserve">221.31</t>
  </si>
  <si>
    <t xml:space="preserve">2024-04-25</t>
  </si>
  <si>
    <t xml:space="preserve">202.95</t>
  </si>
  <si>
    <t xml:space="preserve">Emma Young</t>
  </si>
  <si>
    <t xml:space="preserve">24.14</t>
  </si>
  <si>
    <t xml:space="preserve">$179.98</t>
  </si>
  <si>
    <t xml:space="preserve">24-Apr-2024</t>
  </si>
  <si>
    <t xml:space="preserve">$75.81</t>
  </si>
  <si>
    <t xml:space="preserve">73.13</t>
  </si>
  <si>
    <t xml:space="preserve">8-Feb-2025</t>
  </si>
  <si>
    <t xml:space="preserve">78.87</t>
  </si>
  <si>
    <t xml:space="preserve">Grace King</t>
  </si>
  <si>
    <t xml:space="preserve">14-Aug-2024</t>
  </si>
  <si>
    <t xml:space="preserve">$61.04</t>
  </si>
  <si>
    <t xml:space="preserve">2025-01-09</t>
  </si>
  <si>
    <t xml:space="preserve">245.38</t>
  </si>
  <si>
    <t xml:space="preserve">$95.00</t>
  </si>
  <si>
    <t xml:space="preserve">98.05</t>
  </si>
  <si>
    <t xml:space="preserve">51.76</t>
  </si>
  <si>
    <t xml:space="preserve">Sofia Allen</t>
  </si>
  <si>
    <t xml:space="preserve">7-Mar-2025</t>
  </si>
  <si>
    <t xml:space="preserve">215.32</t>
  </si>
  <si>
    <t xml:space="preserve">$34.51</t>
  </si>
  <si>
    <t xml:space="preserve">Maria Brown</t>
  </si>
  <si>
    <t xml:space="preserve">24-Dec-2024</t>
  </si>
  <si>
    <t xml:space="preserve">82.84</t>
  </si>
  <si>
    <t xml:space="preserve">Ava Khan</t>
  </si>
  <si>
    <t xml:space="preserve">6/12/2024</t>
  </si>
  <si>
    <t xml:space="preserve">193.21</t>
  </si>
  <si>
    <t xml:space="preserve">Sofia Wright</t>
  </si>
  <si>
    <t xml:space="preserve">15-Apr-2025</t>
  </si>
  <si>
    <t xml:space="preserve">$83.94</t>
  </si>
  <si>
    <t xml:space="preserve">2025-06-17</t>
  </si>
  <si>
    <t xml:space="preserve">$19.36</t>
  </si>
  <si>
    <t xml:space="preserve">26-Jun-2024</t>
  </si>
  <si>
    <t xml:space="preserve">47.78</t>
  </si>
  <si>
    <t xml:space="preserve">2025-05-24</t>
  </si>
  <si>
    <t xml:space="preserve">73.27</t>
  </si>
  <si>
    <t xml:space="preserve">2024-04-19</t>
  </si>
  <si>
    <t xml:space="preserve">$200.04</t>
  </si>
  <si>
    <t xml:space="preserve">4/30/2024</t>
  </si>
  <si>
    <t xml:space="preserve">201.90</t>
  </si>
  <si>
    <t xml:space="preserve">Zoe Garcia</t>
  </si>
  <si>
    <t xml:space="preserve">4-Jan-2025</t>
  </si>
  <si>
    <t xml:space="preserve">140.31</t>
  </si>
  <si>
    <t xml:space="preserve">14-Apr-2024</t>
  </si>
  <si>
    <t xml:space="preserve">85.77</t>
  </si>
  <si>
    <t xml:space="preserve">9/28/2024</t>
  </si>
  <si>
    <t xml:space="preserve">96.12</t>
  </si>
  <si>
    <t xml:space="preserve">30-Dec-2024</t>
  </si>
  <si>
    <t xml:space="preserve">64.65</t>
  </si>
  <si>
    <t xml:space="preserve">Ryan Nguyen</t>
  </si>
  <si>
    <t xml:space="preserve">49.99</t>
  </si>
  <si>
    <t xml:space="preserve">12/15/2024</t>
  </si>
  <si>
    <t xml:space="preserve">197.91</t>
  </si>
  <si>
    <t xml:space="preserve">89.73</t>
  </si>
  <si>
    <t xml:space="preserve">4/15/2024</t>
  </si>
  <si>
    <t xml:space="preserve">21.65</t>
  </si>
  <si>
    <t xml:space="preserve">$65.00</t>
  </si>
  <si>
    <t xml:space="preserve">2024-07-26</t>
  </si>
  <si>
    <t xml:space="preserve">$39.56</t>
  </si>
  <si>
    <t xml:space="preserve">2024-02-13</t>
  </si>
  <si>
    <t xml:space="preserve">$200.20</t>
  </si>
  <si>
    <t xml:space="preserve">Mason Brown</t>
  </si>
  <si>
    <t xml:space="preserve">2024-05-20</t>
  </si>
  <si>
    <t xml:space="preserve">85.12</t>
  </si>
  <si>
    <t xml:space="preserve">$95.53</t>
  </si>
  <si>
    <t xml:space="preserve">$216.03</t>
  </si>
  <si>
    <t xml:space="preserve">2024-02-05</t>
  </si>
  <si>
    <t xml:space="preserve">28.27</t>
  </si>
  <si>
    <t xml:space="preserve">2025-03-17</t>
  </si>
  <si>
    <t xml:space="preserve">167.93</t>
  </si>
  <si>
    <t xml:space="preserve">Grace Johnson</t>
  </si>
  <si>
    <t xml:space="preserve">23-Oct-2024</t>
  </si>
  <si>
    <t xml:space="preserve">86.92</t>
  </si>
  <si>
    <t xml:space="preserve">Aisha Garcia</t>
  </si>
  <si>
    <t xml:space="preserve">153.08</t>
  </si>
  <si>
    <t xml:space="preserve">2024-01-26</t>
  </si>
  <si>
    <t xml:space="preserve">177.52</t>
  </si>
  <si>
    <t xml:space="preserve">7-Mar-2024</t>
  </si>
  <si>
    <t xml:space="preserve">$63.32</t>
  </si>
  <si>
    <t xml:space="preserve">177.16</t>
  </si>
  <si>
    <t xml:space="preserve">17-Mar-2024</t>
  </si>
  <si>
    <t xml:space="preserve">128.67</t>
  </si>
  <si>
    <t xml:space="preserve">6/27/2025</t>
  </si>
  <si>
    <t xml:space="preserve">94.15</t>
  </si>
  <si>
    <t xml:space="preserve">2024-12-15</t>
  </si>
  <si>
    <t xml:space="preserve">$165.25</t>
  </si>
  <si>
    <t xml:space="preserve">Mia Wilson</t>
  </si>
  <si>
    <t xml:space="preserve">16-May-2025</t>
  </si>
  <si>
    <t xml:space="preserve">162.15</t>
  </si>
  <si>
    <t xml:space="preserve">2024-02-03</t>
  </si>
  <si>
    <t xml:space="preserve">$68.17</t>
  </si>
  <si>
    <t xml:space="preserve">4/14/2024</t>
  </si>
  <si>
    <t xml:space="preserve">59.80</t>
  </si>
  <si>
    <t xml:space="preserve">2024-06-10</t>
  </si>
  <si>
    <t xml:space="preserve">71.23</t>
  </si>
  <si>
    <t xml:space="preserve">2024-10-19</t>
  </si>
  <si>
    <t xml:space="preserve">158.97</t>
  </si>
  <si>
    <t xml:space="preserve">9/1/2024</t>
  </si>
  <si>
    <t xml:space="preserve">66.19</t>
  </si>
  <si>
    <t xml:space="preserve">156.73</t>
  </si>
  <si>
    <t xml:space="preserve">$79.22</t>
  </si>
  <si>
    <t xml:space="preserve">2024-08-12</t>
  </si>
  <si>
    <t xml:space="preserve">87.81</t>
  </si>
  <si>
    <t xml:space="preserve">17-Jun-2025</t>
  </si>
  <si>
    <t xml:space="preserve">40.01</t>
  </si>
  <si>
    <t xml:space="preserve">26-Oct-2024</t>
  </si>
  <si>
    <t xml:space="preserve">$75.95</t>
  </si>
  <si>
    <t xml:space="preserve">2024-08-26</t>
  </si>
  <si>
    <t xml:space="preserve">2024-09-16</t>
  </si>
  <si>
    <t xml:space="preserve">$80.69</t>
  </si>
  <si>
    <t xml:space="preserve">4/4/2024</t>
  </si>
  <si>
    <t xml:space="preserve">$144.11</t>
  </si>
  <si>
    <t xml:space="preserve">5-Jun-2024</t>
  </si>
  <si>
    <t xml:space="preserve">$153.00</t>
  </si>
  <si>
    <t xml:space="preserve">105.68</t>
  </si>
  <si>
    <t xml:space="preserve">21-Feb-2024</t>
  </si>
  <si>
    <t xml:space="preserve">$144.25</t>
  </si>
  <si>
    <t xml:space="preserve">Grace Lee</t>
  </si>
  <si>
    <t xml:space="preserve">8/6/2024</t>
  </si>
  <si>
    <t xml:space="preserve">$32.33</t>
  </si>
  <si>
    <t xml:space="preserve">8-Jul-2024</t>
  </si>
  <si>
    <t xml:space="preserve">$68.34</t>
  </si>
  <si>
    <t xml:space="preserve">$85.62</t>
  </si>
  <si>
    <t xml:space="preserve">Grace Rodriguez</t>
  </si>
  <si>
    <t xml:space="preserve">55.30</t>
  </si>
  <si>
    <t xml:space="preserve">2024-08-04</t>
  </si>
  <si>
    <t xml:space="preserve">Olivia Allen</t>
  </si>
  <si>
    <t xml:space="preserve">8/23/2024</t>
  </si>
  <si>
    <t xml:space="preserve">22.52</t>
  </si>
  <si>
    <t xml:space="preserve">2/5/2024</t>
  </si>
  <si>
    <t xml:space="preserve">36.97</t>
  </si>
  <si>
    <t xml:space="preserve">2024-09-15</t>
  </si>
  <si>
    <t xml:space="preserve">104.93</t>
  </si>
  <si>
    <t xml:space="preserve">193.56</t>
  </si>
  <si>
    <t xml:space="preserve">27-Dec-2024</t>
  </si>
  <si>
    <t xml:space="preserve">$63.39</t>
  </si>
  <si>
    <t xml:space="preserve">Carlos Garcia</t>
  </si>
  <si>
    <t xml:space="preserve">129.26</t>
  </si>
  <si>
    <t xml:space="preserve">2024-10-07</t>
  </si>
  <si>
    <t xml:space="preserve">70.05</t>
  </si>
  <si>
    <t xml:space="preserve">Carlos Young</t>
  </si>
  <si>
    <t xml:space="preserve">2024-08-07</t>
  </si>
  <si>
    <t xml:space="preserve">$67.41</t>
  </si>
  <si>
    <t xml:space="preserve">Ava Smith</t>
  </si>
  <si>
    <t xml:space="preserve">70.99</t>
  </si>
  <si>
    <t xml:space="preserve">$44.50</t>
  </si>
  <si>
    <t xml:space="preserve">13-Jun-2025</t>
  </si>
  <si>
    <t xml:space="preserve">19.14</t>
  </si>
  <si>
    <t xml:space="preserve">4/10/2024</t>
  </si>
  <si>
    <t xml:space="preserve">185.20</t>
  </si>
  <si>
    <t xml:space="preserve">Owen Hall</t>
  </si>
  <si>
    <t xml:space="preserve">2024-12-03</t>
  </si>
  <si>
    <t xml:space="preserve">1/19/2025</t>
  </si>
  <si>
    <t xml:space="preserve">50.43</t>
  </si>
  <si>
    <t xml:space="preserve">$28.27</t>
  </si>
  <si>
    <t xml:space="preserve">2024-11-08</t>
  </si>
  <si>
    <t xml:space="preserve">$170.60</t>
  </si>
  <si>
    <t xml:space="preserve">Sofia Clark</t>
  </si>
  <si>
    <t xml:space="preserve">120.66</t>
  </si>
  <si>
    <t xml:space="preserve">2024-03-09</t>
  </si>
  <si>
    <t xml:space="preserve">$62.54</t>
  </si>
  <si>
    <t xml:space="preserve">2/12/2024</t>
  </si>
  <si>
    <t xml:space="preserve">67.52</t>
  </si>
  <si>
    <t xml:space="preserve">Maria Johnson</t>
  </si>
  <si>
    <t xml:space="preserve">90.47</t>
  </si>
  <si>
    <t xml:space="preserve">79.29</t>
  </si>
  <si>
    <t xml:space="preserve">Ethan Garcia</t>
  </si>
  <si>
    <t xml:space="preserve">2/22/2025</t>
  </si>
  <si>
    <t xml:space="preserve">71.76</t>
  </si>
  <si>
    <t xml:space="preserve">Grace Allen</t>
  </si>
  <si>
    <t xml:space="preserve">11-Feb-2024</t>
  </si>
  <si>
    <t xml:space="preserve">91.63</t>
  </si>
  <si>
    <t xml:space="preserve">7/27/2024</t>
  </si>
  <si>
    <t xml:space="preserve">164.25</t>
  </si>
  <si>
    <t xml:space="preserve">Ryan Walker</t>
  </si>
  <si>
    <t xml:space="preserve">14-Jan-2024</t>
  </si>
  <si>
    <t xml:space="preserve">25.75</t>
  </si>
  <si>
    <t xml:space="preserve">2024-03-31</t>
  </si>
  <si>
    <t xml:space="preserve">$172.95</t>
  </si>
  <si>
    <t xml:space="preserve">2024-01-29</t>
  </si>
  <si>
    <t xml:space="preserve">174.70</t>
  </si>
  <si>
    <t xml:space="preserve">16-Aug-2024</t>
  </si>
  <si>
    <t xml:space="preserve">$189.42</t>
  </si>
  <si>
    <t xml:space="preserve">173.16</t>
  </si>
  <si>
    <t xml:space="preserve">6-May-2025</t>
  </si>
  <si>
    <t xml:space="preserve">142.72</t>
  </si>
  <si>
    <t xml:space="preserve">29-Mar-2025</t>
  </si>
  <si>
    <t xml:space="preserve">$39.43</t>
  </si>
  <si>
    <t xml:space="preserve">12/18/2024</t>
  </si>
  <si>
    <t xml:space="preserve">173.19</t>
  </si>
  <si>
    <t xml:space="preserve">18-May-2025</t>
  </si>
  <si>
    <t xml:space="preserve">47.41</t>
  </si>
  <si>
    <t xml:space="preserve">21-Sep-2024</t>
  </si>
  <si>
    <t xml:space="preserve">$87.24</t>
  </si>
  <si>
    <t xml:space="preserve">2024-06-20</t>
  </si>
  <si>
    <t xml:space="preserve">30-Apr-2025</t>
  </si>
  <si>
    <t xml:space="preserve">$147.69</t>
  </si>
  <si>
    <t xml:space="preserve">Ethan King</t>
  </si>
  <si>
    <t xml:space="preserve">9/8/2024</t>
  </si>
  <si>
    <t xml:space="preserve">$92.56</t>
  </si>
  <si>
    <t xml:space="preserve">19.06</t>
  </si>
  <si>
    <t xml:space="preserve">$80.28</t>
  </si>
  <si>
    <t xml:space="preserve">2025-05-18</t>
  </si>
  <si>
    <t xml:space="preserve">$155.39</t>
  </si>
  <si>
    <t xml:space="preserve">2024-03-06</t>
  </si>
  <si>
    <t xml:space="preserve">$146.39</t>
  </si>
  <si>
    <t xml:space="preserve">2024-07-02</t>
  </si>
  <si>
    <t xml:space="preserve">$20.10</t>
  </si>
  <si>
    <t xml:space="preserve">5/24/2025</t>
  </si>
  <si>
    <t xml:space="preserve">$44.28</t>
  </si>
  <si>
    <t xml:space="preserve">28-May-2025</t>
  </si>
  <si>
    <t xml:space="preserve">$64.89</t>
  </si>
  <si>
    <t xml:space="preserve">2024-12-21</t>
  </si>
  <si>
    <t xml:space="preserve">$60.06</t>
  </si>
  <si>
    <t xml:space="preserve">5-Apr-2024</t>
  </si>
  <si>
    <t xml:space="preserve">203.64</t>
  </si>
  <si>
    <t xml:space="preserve">13-Feb-2025</t>
  </si>
  <si>
    <t xml:space="preserve">$67.70</t>
  </si>
  <si>
    <t xml:space="preserve">28-Jan-2025</t>
  </si>
  <si>
    <t xml:space="preserve">201.74</t>
  </si>
  <si>
    <t xml:space="preserve">12-Jul-2024</t>
  </si>
  <si>
    <t xml:space="preserve">140.71</t>
  </si>
  <si>
    <t xml:space="preserve">$69.87</t>
  </si>
  <si>
    <t xml:space="preserve">14-Dec-2024</t>
  </si>
  <si>
    <t xml:space="preserve">$86.23</t>
  </si>
  <si>
    <t xml:space="preserve">10/3/2024</t>
  </si>
  <si>
    <t xml:space="preserve">$168.88</t>
  </si>
  <si>
    <t xml:space="preserve">140.56</t>
  </si>
  <si>
    <t xml:space="preserve">2-May-2024</t>
  </si>
  <si>
    <t xml:space="preserve">89.05</t>
  </si>
  <si>
    <t xml:space="preserve">1/5/2025</t>
  </si>
  <si>
    <t xml:space="preserve">55.54</t>
  </si>
  <si>
    <t xml:space="preserve">28-Feb-2025</t>
  </si>
  <si>
    <t xml:space="preserve">$173.72</t>
  </si>
  <si>
    <t xml:space="preserve">11/25/2024</t>
  </si>
  <si>
    <t xml:space="preserve">$79.94</t>
  </si>
  <si>
    <t xml:space="preserve">Ava Clark</t>
  </si>
  <si>
    <t xml:space="preserve">12-Sep-2024</t>
  </si>
  <si>
    <t xml:space="preserve">$46.66</t>
  </si>
  <si>
    <t xml:space="preserve">2025-01-16</t>
  </si>
  <si>
    <t xml:space="preserve">143.87</t>
  </si>
  <si>
    <t xml:space="preserve">57.50</t>
  </si>
  <si>
    <t xml:space="preserve">26-Aug-2024</t>
  </si>
  <si>
    <t xml:space="preserve">246.22</t>
  </si>
  <si>
    <t xml:space="preserve">2024-01-05</t>
  </si>
  <si>
    <t xml:space="preserve">$31.75</t>
  </si>
  <si>
    <t xml:space="preserve">180.84</t>
  </si>
  <si>
    <t xml:space="preserve">2024-09-01</t>
  </si>
  <si>
    <t xml:space="preserve">$65.09</t>
  </si>
  <si>
    <t xml:space="preserve">3/12/2025</t>
  </si>
  <si>
    <t xml:space="preserve">50.17</t>
  </si>
  <si>
    <t xml:space="preserve">4/23/2025</t>
  </si>
  <si>
    <t xml:space="preserve">45.49</t>
  </si>
  <si>
    <t xml:space="preserve">$75.14</t>
  </si>
  <si>
    <t xml:space="preserve">2025-05-16</t>
  </si>
  <si>
    <t xml:space="preserve">65.26</t>
  </si>
  <si>
    <t xml:space="preserve">5/27/2024</t>
  </si>
  <si>
    <t xml:space="preserve">198.86</t>
  </si>
  <si>
    <t xml:space="preserve">14-Sep-2024</t>
  </si>
  <si>
    <t xml:space="preserve">29-Jan-2024</t>
  </si>
  <si>
    <t xml:space="preserve">$19.51</t>
  </si>
  <si>
    <t xml:space="preserve">1/30/2024</t>
  </si>
  <si>
    <t xml:space="preserve">79.42</t>
  </si>
  <si>
    <t xml:space="preserve">Olivia Johnson</t>
  </si>
  <si>
    <t xml:space="preserve">8/30/2024</t>
  </si>
  <si>
    <t xml:space="preserve">206.54</t>
  </si>
  <si>
    <t xml:space="preserve">Noah Martinez</t>
  </si>
  <si>
    <t xml:space="preserve">$19.75</t>
  </si>
  <si>
    <t xml:space="preserve">2025-05-14</t>
  </si>
  <si>
    <t xml:space="preserve">$52.36</t>
  </si>
  <si>
    <t xml:space="preserve">74.13</t>
  </si>
  <si>
    <t xml:space="preserve">$37.27</t>
  </si>
  <si>
    <t xml:space="preserve">2024-12-22</t>
  </si>
  <si>
    <t xml:space="preserve">189.26</t>
  </si>
  <si>
    <t xml:space="preserve">2025-01-07</t>
  </si>
  <si>
    <t xml:space="preserve">101.21</t>
  </si>
  <si>
    <t xml:space="preserve">Emma Smith</t>
  </si>
  <si>
    <t xml:space="preserve">205.23</t>
  </si>
  <si>
    <t xml:space="preserve">135.25</t>
  </si>
  <si>
    <t xml:space="preserve">1/17/2024</t>
  </si>
  <si>
    <t xml:space="preserve">56.21</t>
  </si>
  <si>
    <t xml:space="preserve">169.87</t>
  </si>
  <si>
    <t xml:space="preserve">12/13/2024</t>
  </si>
  <si>
    <t xml:space="preserve">122.72</t>
  </si>
  <si>
    <t xml:space="preserve">16-Jul-2024</t>
  </si>
  <si>
    <t xml:space="preserve">$79.92</t>
  </si>
  <si>
    <t xml:space="preserve">31-Mar-2025</t>
  </si>
  <si>
    <t xml:space="preserve">$96.05</t>
  </si>
  <si>
    <t xml:space="preserve">2024-04-22</t>
  </si>
  <si>
    <t xml:space="preserve">$20.43</t>
  </si>
  <si>
    <t xml:space="preserve">$171.81</t>
  </si>
  <si>
    <t xml:space="preserve">2024-10-11</t>
  </si>
  <si>
    <t xml:space="preserve">18.61</t>
  </si>
  <si>
    <t xml:space="preserve">101.50</t>
  </si>
  <si>
    <t xml:space="preserve">14-Apr-2025</t>
  </si>
  <si>
    <t xml:space="preserve">$76.53</t>
  </si>
  <si>
    <t xml:space="preserve">8/24/2024</t>
  </si>
  <si>
    <t xml:space="preserve">$44.17</t>
  </si>
  <si>
    <t xml:space="preserve">2024-07-10</t>
  </si>
  <si>
    <t xml:space="preserve">101.99</t>
  </si>
  <si>
    <t xml:space="preserve">Olivia Young</t>
  </si>
  <si>
    <t xml:space="preserve">14-Feb-2025</t>
  </si>
  <si>
    <t xml:space="preserve">$93.62</t>
  </si>
  <si>
    <t xml:space="preserve">Mason Garcia</t>
  </si>
  <si>
    <t xml:space="preserve">6/22/2024</t>
  </si>
  <si>
    <t xml:space="preserve">$61.39</t>
  </si>
  <si>
    <t xml:space="preserve">$202.53</t>
  </si>
  <si>
    <t xml:space="preserve">2024-01-03</t>
  </si>
  <si>
    <t xml:space="preserve">135.39</t>
  </si>
  <si>
    <t xml:space="preserve">Maria Wilson</t>
  </si>
  <si>
    <t xml:space="preserve">2024-03-17</t>
  </si>
  <si>
    <t xml:space="preserve">53.18</t>
  </si>
  <si>
    <t xml:space="preserve">1-Nov-2024</t>
  </si>
  <si>
    <t xml:space="preserve">54.47</t>
  </si>
  <si>
    <t xml:space="preserve">11/7/2024</t>
  </si>
  <si>
    <t xml:space="preserve">27.93</t>
  </si>
  <si>
    <t xml:space="preserve">Owen Lee</t>
  </si>
  <si>
    <t xml:space="preserve">11-Apr-2025</t>
  </si>
  <si>
    <t xml:space="preserve">87.54</t>
  </si>
  <si>
    <t xml:space="preserve">53.00</t>
  </si>
  <si>
    <t xml:space="preserve">10/8/2024</t>
  </si>
  <si>
    <t xml:space="preserve">170.37</t>
  </si>
  <si>
    <t xml:space="preserve">$78.70</t>
  </si>
  <si>
    <t xml:space="preserve">33.98</t>
  </si>
  <si>
    <t xml:space="preserve">Ryan Thompson</t>
  </si>
  <si>
    <t xml:space="preserve">12-Nov-2024</t>
  </si>
  <si>
    <t xml:space="preserve">$94.52</t>
  </si>
  <si>
    <t xml:space="preserve">216.09</t>
  </si>
  <si>
    <t xml:space="preserve">6/8/2025</t>
  </si>
  <si>
    <t xml:space="preserve">12/31/2024</t>
  </si>
  <si>
    <t xml:space="preserve">40.20</t>
  </si>
  <si>
    <t xml:space="preserve">61.39</t>
  </si>
  <si>
    <t xml:space="preserve">2025-05-11</t>
  </si>
  <si>
    <t xml:space="preserve">52.85</t>
  </si>
  <si>
    <t xml:space="preserve">6/10/2025</t>
  </si>
  <si>
    <t xml:space="preserve">$176.71</t>
  </si>
  <si>
    <t xml:space="preserve">70.50</t>
  </si>
  <si>
    <t xml:space="preserve">20.24</t>
  </si>
  <si>
    <t xml:space="preserve">$63.08</t>
  </si>
  <si>
    <t xml:space="preserve">Layla King</t>
  </si>
  <si>
    <t xml:space="preserve">2024-12-31</t>
  </si>
  <si>
    <t xml:space="preserve">74.53</t>
  </si>
  <si>
    <t xml:space="preserve">2024-01-16</t>
  </si>
  <si>
    <t xml:space="preserve">25.07</t>
  </si>
  <si>
    <t xml:space="preserve">212.70</t>
  </si>
  <si>
    <t xml:space="preserve">$26.16</t>
  </si>
  <si>
    <t xml:space="preserve">180.53</t>
  </si>
  <si>
    <t xml:space="preserve">2025-02-11</t>
  </si>
  <si>
    <t xml:space="preserve">Daniel Hall</t>
  </si>
  <si>
    <t xml:space="preserve">8/2/2024</t>
  </si>
  <si>
    <t xml:space="preserve">2024-08-17</t>
  </si>
  <si>
    <t xml:space="preserve">62.83</t>
  </si>
  <si>
    <t xml:space="preserve">89.39</t>
  </si>
  <si>
    <t xml:space="preserve">2025-01-19</t>
  </si>
  <si>
    <t xml:space="preserve">70.16</t>
  </si>
  <si>
    <t xml:space="preserve">$212.80</t>
  </si>
  <si>
    <t xml:space="preserve">2024-07-20</t>
  </si>
  <si>
    <t xml:space="preserve">$64.66</t>
  </si>
  <si>
    <t xml:space="preserve">Daniel Lee</t>
  </si>
  <si>
    <t xml:space="preserve">2024-11-24</t>
  </si>
  <si>
    <t xml:space="preserve">51.06</t>
  </si>
  <si>
    <t xml:space="preserve">Owen Davis</t>
  </si>
  <si>
    <t xml:space="preserve">2025-04-10</t>
  </si>
  <si>
    <t xml:space="preserve">237.79</t>
  </si>
  <si>
    <t xml:space="preserve">Noah Wright</t>
  </si>
  <si>
    <t xml:space="preserve">2024-04-12</t>
  </si>
  <si>
    <t xml:space="preserve">201.33</t>
  </si>
  <si>
    <t xml:space="preserve">144.39</t>
  </si>
  <si>
    <t xml:space="preserve">2/20/2024</t>
  </si>
  <si>
    <t xml:space="preserve">$172.77</t>
  </si>
  <si>
    <t xml:space="preserve">24.84</t>
  </si>
  <si>
    <t xml:space="preserve">18.42</t>
  </si>
  <si>
    <t xml:space="preserve">2025-04-05</t>
  </si>
  <si>
    <t xml:space="preserve">$227.62</t>
  </si>
  <si>
    <t xml:space="preserve">65.21</t>
  </si>
  <si>
    <t xml:space="preserve">2024-08-22</t>
  </si>
  <si>
    <t xml:space="preserve">$149.00</t>
  </si>
  <si>
    <t xml:space="preserve">2024-05-02</t>
  </si>
  <si>
    <t xml:space="preserve">72.12</t>
  </si>
  <si>
    <t xml:space="preserve">9/21/2024</t>
  </si>
  <si>
    <t xml:space="preserve">$208.35</t>
  </si>
  <si>
    <t xml:space="preserve">4/4/2025</t>
  </si>
  <si>
    <t xml:space="preserve">86.37</t>
  </si>
  <si>
    <t xml:space="preserve">$21.89</t>
  </si>
  <si>
    <t xml:space="preserve">Ryan Clark</t>
  </si>
  <si>
    <t xml:space="preserve">3/8/2024</t>
  </si>
  <si>
    <t xml:space="preserve">53.23</t>
  </si>
  <si>
    <t xml:space="preserve">2024-07-12</t>
  </si>
  <si>
    <t xml:space="preserve">30-Nov-2024</t>
  </si>
  <si>
    <t xml:space="preserve">175.93</t>
  </si>
  <si>
    <t xml:space="preserve">$77.83</t>
  </si>
  <si>
    <t xml:space="preserve">6/13/2025</t>
  </si>
  <si>
    <t xml:space="preserve">$85.24</t>
  </si>
  <si>
    <t xml:space="preserve">2024-06-23</t>
  </si>
  <si>
    <t xml:space="preserve">63.86</t>
  </si>
  <si>
    <t xml:space="preserve">1/25/2025</t>
  </si>
  <si>
    <t xml:space="preserve">$171.04</t>
  </si>
  <si>
    <t xml:space="preserve">Emma Martinez</t>
  </si>
  <si>
    <t xml:space="preserve">91.89</t>
  </si>
  <si>
    <t xml:space="preserve">2/9/2025</t>
  </si>
  <si>
    <t xml:space="preserve">83.42</t>
  </si>
  <si>
    <t xml:space="preserve">88.61</t>
  </si>
  <si>
    <t xml:space="preserve">2025-03-18</t>
  </si>
  <si>
    <t xml:space="preserve">24.08</t>
  </si>
  <si>
    <t xml:space="preserve">39.26</t>
  </si>
  <si>
    <t xml:space="preserve">106.84</t>
  </si>
  <si>
    <t xml:space="preserve">74.35</t>
  </si>
  <si>
    <t xml:space="preserve">2024-10-09</t>
  </si>
  <si>
    <t xml:space="preserve">$60.60</t>
  </si>
  <si>
    <t xml:space="preserve">183.22</t>
  </si>
  <si>
    <t xml:space="preserve">Ethan Hall</t>
  </si>
  <si>
    <t xml:space="preserve">27-Oct-2024</t>
  </si>
  <si>
    <t xml:space="preserve">89.76</t>
  </si>
  <si>
    <t xml:space="preserve">69.04</t>
  </si>
  <si>
    <t xml:space="preserve">174.98</t>
  </si>
  <si>
    <t xml:space="preserve">2/18/2025</t>
  </si>
  <si>
    <t xml:space="preserve">$156.56</t>
  </si>
  <si>
    <t xml:space="preserve">81.45</t>
  </si>
  <si>
    <t xml:space="preserve">12/21/2024</t>
  </si>
  <si>
    <t xml:space="preserve">$139.37</t>
  </si>
  <si>
    <t xml:space="preserve">189.74</t>
  </si>
  <si>
    <t xml:space="preserve">2025-05-15</t>
  </si>
  <si>
    <t xml:space="preserve">60.26</t>
  </si>
  <si>
    <t xml:space="preserve">144.60</t>
  </si>
  <si>
    <t xml:space="preserve">151.22</t>
  </si>
  <si>
    <t xml:space="preserve">2024-05-18</t>
  </si>
  <si>
    <t xml:space="preserve">$211.66</t>
  </si>
  <si>
    <t xml:space="preserve">5/11/2024</t>
  </si>
  <si>
    <t xml:space="preserve">$154.64</t>
  </si>
  <si>
    <t xml:space="preserve">166.02</t>
  </si>
  <si>
    <t xml:space="preserve">Liam Rodriguez</t>
  </si>
  <si>
    <t xml:space="preserve">$22.80</t>
  </si>
  <si>
    <t xml:space="preserve">3/25/2024</t>
  </si>
  <si>
    <t xml:space="preserve">81.71</t>
  </si>
  <si>
    <t xml:space="preserve">10-Jan-2024</t>
  </si>
  <si>
    <t xml:space="preserve">$32.64</t>
  </si>
  <si>
    <t xml:space="preserve">79.96</t>
  </si>
  <si>
    <t xml:space="preserve">$37.83</t>
  </si>
  <si>
    <t xml:space="preserve">$83.47</t>
  </si>
  <si>
    <t xml:space="preserve">15-Oct-2024</t>
  </si>
  <si>
    <t xml:space="preserve">$196.46</t>
  </si>
  <si>
    <t xml:space="preserve">179.82</t>
  </si>
  <si>
    <t xml:space="preserve">Mia King</t>
  </si>
  <si>
    <t xml:space="preserve">13-Sep-2024</t>
  </si>
  <si>
    <t xml:space="preserve">$21.93</t>
  </si>
  <si>
    <t xml:space="preserve">3/4/2024</t>
  </si>
  <si>
    <t xml:space="preserve">21.05</t>
  </si>
  <si>
    <t xml:space="preserve">All figures below update live from the filters in row 5.</t>
  </si>
  <si>
    <t xml:space="preserve">Region</t>
  </si>
  <si>
    <t xml:space="preserve">All</t>
  </si>
  <si>
    <t xml:space="preserve">Category</t>
  </si>
  <si>
    <t xml:space="preserve">Start Date</t>
  </si>
  <si>
    <t xml:space="preserve">End Date</t>
  </si>
  <si>
    <t xml:space="preserve">2025-06-30</t>
  </si>
  <si>
    <t xml:space="preserve">Total Revenue</t>
  </si>
  <si>
    <t xml:space="preserve">Total Orders</t>
  </si>
  <si>
    <t xml:space="preserve">Units Sold</t>
  </si>
  <si>
    <t xml:space="preserve">Avg Order Value</t>
  </si>
  <si>
    <t xml:space="preserve">Revenue by Region</t>
  </si>
  <si>
    <t xml:space="preserve">Revenue by Category</t>
  </si>
  <si>
    <t xml:space="preserve">Revenue by Channel</t>
  </si>
  <si>
    <t xml:space="preserve">Revenue by Month</t>
  </si>
  <si>
    <t xml:space="preserve">Month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</si>
  <si>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</si>
  <si>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</si>
  <si>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</si>
  <si>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</si>
  <si>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2024-08-01</t>
  </si>
  <si>
    <t xml:space="preserve">2024-10-01</t>
  </si>
  <si>
    <t xml:space="preserve">2024-11-01</t>
  </si>
  <si>
    <t xml:space="preserve">2025-01-01</t>
  </si>
  <si>
    <t xml:space="preserve">2025-02-01</t>
  </si>
  <si>
    <t xml:space="preserve">2025-03-01</t>
  </si>
  <si>
    <t xml:space="preserve">2025-06-01</t>
  </si>
  <si>
    <t xml:space="preserve">Data Cleaning Log</t>
  </si>
  <si>
    <t xml:space="preserve">Every count below is a live formula against Raw Data — re-run the export and this log re-tallies itself.</t>
  </si>
  <si>
    <t xml:space="preserve">Issue</t>
  </si>
  <si>
    <t xml:space="preserve">Row Count</t>
  </si>
  <si>
    <t xml:space="preserve">How it was handled</t>
  </si>
  <si>
    <t xml:space="preserve">Total rows in raw export (incl. blanks)</t>
  </si>
  <si>
    <t xml:space="preserve">Baseline row count for the export.</t>
  </si>
  <si>
    <t xml:space="preserve">Fully blank rows</t>
  </si>
  <si>
    <t xml:space="preserve">Ignored automatically — cleaning formulas short-circuit to blank/0 on empty OrderID.</t>
  </si>
  <si>
    <t xml:space="preserve">Duplicate order rows (double entry)</t>
  </si>
  <si>
    <t xml:space="preserve">Flagged via COUNTIF on OrderID; first occurrence kept, repeats excluded from all totals.</t>
  </si>
  <si>
    <t xml:space="preserve">Unparseable / garbage dates</t>
  </si>
  <si>
    <t xml:space="preserve">DATEVALUE() wrapped in IFERROR; unparseable text ("N/A", "TBD", etc.) becomes blank and the row is excluded.</t>
  </si>
  <si>
    <t xml:space="preserve">Invalid quantity (zero / negative)</t>
  </si>
  <si>
    <t xml:space="preserve">Rows with quantity ≤ 0 are excluded from revenue and unit totals.</t>
  </si>
  <si>
    <t xml:space="preserve">Missing / blank unit price</t>
  </si>
  <si>
    <t xml:space="preserve">SUBSTITUTE strips "$", VALUE() wrapped in IFERROR; blank/unparseable price rows excluded.</t>
  </si>
  <si>
    <t xml:space="preserve">Region/Category text inconsistently cased or padded</t>
  </si>
  <si>
    <t xml:space="preserve">TRIM() + PROPER() standardize casing/whitespace before any grouping or filtering.</t>
  </si>
  <si>
    <t xml:space="preserve">Clean, valid rows used in the dashboard</t>
  </si>
  <si>
    <t xml:space="preserve">Rows passing every check above (unique, valid date, valid qty, valid price).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</si>
</sst>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\$#,##0"/>
    <numFmt numFmtId="168" formatCode="#,##0"/>
    <numFmt numFmtId="169" formatCode="mmm\ 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62624"/>
      <name val="Arial"/>
      <family val="0"/>
      <charset val="1"/>
    </font>
    <font>
      <i val="true"/>
      <sz val="11"/>
      <color rgb="FF6B6A66"/>
      <name val="Arial"/>
      <family val="0"/>
      <charset val="1"/>
    </font>
    <font>
      <b val="true"/>
      <sz val="13"/>
      <color rgb="FFCC785C"/>
      <name val="Arial"/>
      <family val="0"/>
      <charset val="1"/>
    </font>
    <font>
      <sz val="10.5"/>
      <color rgb="FF262624"/>
      <name val="Arial"/>
      <family val="0"/>
      <charset val="1"/>
    </font>
    <font>
      <b val="true"/>
      <sz val="10.5"/>
      <color rgb="FFF0EEE6"/>
      <name val="Arial"/>
      <family val="0"/>
      <charset val="1"/>
    </font>
    <font>
      <b val="true"/>
      <sz val="10.5"/>
      <color rgb="FF6B6A6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20"/>
      <color rgb="FF26262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D2C2A"/>
        <bgColor rgb="FF262624"/>
      </patternFill>
    </fill>
    <fill>
      <patternFill patternType="solid">
        <fgColor rgb="FFFFF9E6"/>
        <bgColor rgb="FFF5F4EF"/>
      </patternFill>
    </fill>
    <fill>
      <patternFill patternType="solid">
        <fgColor rgb="FFF5F4EF"/>
        <bgColor rgb="FFF0EE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D0"/>
      </left>
      <right style="thin">
        <color rgb="FFD9D7D0"/>
      </right>
      <top style="thin">
        <color rgb="FFD9D7D0"/>
      </top>
      <bottom style="thin">
        <color rgb="FFD9D7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9E4"/>
        </patternFill>
      </fill>
    </dxf>
  </dxf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7D0"/>
      <rgbColor rgb="FF878787"/>
      <rgbColor rgb="FF9999FF"/>
      <rgbColor rgb="FFC0504D"/>
      <rgbColor rgb="FFF5F4EF"/>
      <rgbColor rgb="FFF0EEE6"/>
      <rgbColor rgb="FF660066"/>
      <rgbColor rgb="FFCC785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4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6B6A66"/>
      <rgbColor rgb="FF969696"/>
      <rgbColor rgb="FF003366"/>
      <rgbColor rgb="FF4F81BD"/>
      <rgbColor rgb="FF003300"/>
      <rgbColor rgb="FF262624"/>
      <rgbColor rgb="FF993300"/>
      <rgbColor rgb="FF993366"/>
      <rgbColor rgb="FF333399"/>
      <rgbColor rgb="FF2D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Dashboard!$E$13:$E$17</c:f>
              <c:strCache>
                <c:ptCount val="5"/>
                <c:pt idx="0">
                  <c:v>Footwear</c:v>
                </c:pt>
                <c:pt idx="1">
                  <c:v>Apparel</c:v>
                </c:pt>
                <c:pt idx="2">
                  <c:v>Camping Gear</c:v>
                </c:pt>
                <c:pt idx="3">
                  <c:v>Climbing Gear</c:v>
                </c:pt>
                <c:pt idx="4">
                  <c:v>Accessories</c:v>
                </c:pt>
              </c:strCache>
            </c:strRef>
          </c:cat>
          <c:val>
            <c:numRef>
              <c:f>Dashboard!$F$13:$F$17</c:f>
              <c:numCache>
                <c:formatCode>\$#,##0</c:formatCode>
                <c:ptCount val="5"/>
                <c:pt idx="0">
                  <c:v>32759.83</c:v>
                </c:pt>
                <c:pt idx="1">
                  <c:v>29069.74</c:v>
                </c:pt>
                <c:pt idx="2">
                  <c:v>39637.01</c:v>
                </c:pt>
                <c:pt idx="3">
                  <c:v>27925.06</c:v>
                </c:pt>
                <c:pt idx="4">
                  <c:v>12647.58</c:v>
                </c:pt>
              </c:numCache>
            </c:numRef>
          </c:val>
        </c:ser>
        <c:gapWidth val="150"/>
        <c:overlap val="0"/>
        <c:axId val="1188637"/>
        <c:axId val="90623353"/>
      </c:barChart>
      <c:catAx>
        <c:axId val="1188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23353"/>
        <c:crosses val="autoZero"/>
        <c:auto val="1"/>
        <c:lblAlgn val="ctr"/>
        <c:lblOffset val="100"/>
        <c:noMultiLvlLbl val="0"/>
      </c:catAx>
      <c:valAx>
        <c:axId val="90623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86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Dashboard!$B$13:$B$16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Midwest</c:v>
                </c:pt>
                <c:pt idx="3">
                  <c:v>South</c:v>
                </c:pt>
              </c:strCache>
            </c:strRef>
          </c:cat>
          <c:val>
            <c:numRef>
              <c:f>Dashboard!$C$13:$C$16</c:f>
              <c:numCache>
                <c:formatCode>\$#,##0</c:formatCode>
                <c:ptCount val="4"/>
                <c:pt idx="0">
                  <c:v>35596.94</c:v>
                </c:pt>
                <c:pt idx="1">
                  <c:v>32611.07</c:v>
                </c:pt>
                <c:pt idx="2">
                  <c:v>36181.53</c:v>
                </c:pt>
                <c:pt idx="3">
                  <c:v>37649.68</c:v>
                </c:pt>
              </c:numCache>
            </c:numRef>
          </c:val>
        </c:ser>
        <c:gapWidth val="150"/>
        <c:overlap val="0"/>
        <c:axId val="62224093"/>
        <c:axId val="8669817"/>
      </c:barChart>
      <c:catAx>
        <c:axId val="62224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9817"/>
        <c:crosses val="autoZero"/>
        <c:auto val="1"/>
        <c:lblAlgn val="ctr"/>
        <c:lblOffset val="100"/>
        <c:noMultiLvlLbl val="0"/>
      </c:catAx>
      <c:valAx>
        <c:axId val="8669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240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Trend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Dashboard!L12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Dashboard!$K$13:$K$30</c:f>
              <c:strCache>
                <c:ptCount val="18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  <c:pt idx="6">
                  <c:v>2024-07-01</c:v>
                </c:pt>
                <c:pt idx="7">
                  <c:v>2024-08-01</c:v>
                </c:pt>
                <c:pt idx="8">
                  <c:v>2024-09-01</c:v>
                </c:pt>
                <c:pt idx="9">
                  <c:v>2024-10-01</c:v>
                </c:pt>
                <c:pt idx="10">
                  <c:v>2024-11-01</c:v>
                </c:pt>
                <c:pt idx="11">
                  <c:v>2024-12-01</c:v>
                </c:pt>
                <c:pt idx="12">
                  <c:v>2025-01-01</c:v>
                </c:pt>
                <c:pt idx="13">
                  <c:v>2025-02-01</c:v>
                </c:pt>
                <c:pt idx="14">
                  <c:v>2025-03-01</c:v>
                </c:pt>
                <c:pt idx="15">
                  <c:v>2025-04-01</c:v>
                </c:pt>
                <c:pt idx="16">
                  <c:v>2025-05-01</c:v>
                </c:pt>
                <c:pt idx="17">
                  <c:v>2025-06-01</c:v>
                </c:pt>
              </c:strCache>
            </c:strRef>
          </c:cat>
          <c:val>
            <c:numRef>
              <c:f>Dashboard!$L$13:$L$30</c:f>
              <c:numCache>
                <c:formatCode>\$#,##0</c:formatCode>
                <c:ptCount val="18"/>
                <c:pt idx="0">
                  <c:v>8316.55</c:v>
                </c:pt>
                <c:pt idx="1">
                  <c:v>7572.93</c:v>
                </c:pt>
                <c:pt idx="2">
                  <c:v>9528.23</c:v>
                </c:pt>
                <c:pt idx="3">
                  <c:v>8812.67</c:v>
                </c:pt>
                <c:pt idx="4">
                  <c:v>9403.72</c:v>
                </c:pt>
                <c:pt idx="5">
                  <c:v>10121.41</c:v>
                </c:pt>
                <c:pt idx="6">
                  <c:v>10863.94</c:v>
                </c:pt>
                <c:pt idx="7">
                  <c:v>7413.37</c:v>
                </c:pt>
                <c:pt idx="8">
                  <c:v>6368.09</c:v>
                </c:pt>
                <c:pt idx="9">
                  <c:v>7415.74</c:v>
                </c:pt>
                <c:pt idx="10">
                  <c:v>7524.82</c:v>
                </c:pt>
                <c:pt idx="11">
                  <c:v>6339.03</c:v>
                </c:pt>
                <c:pt idx="12">
                  <c:v>7530.51</c:v>
                </c:pt>
                <c:pt idx="13">
                  <c:v>5615.96</c:v>
                </c:pt>
                <c:pt idx="14">
                  <c:v>5660.67</c:v>
                </c:pt>
                <c:pt idx="15">
                  <c:v>8669.39</c:v>
                </c:pt>
                <c:pt idx="16">
                  <c:v>7287.48</c:v>
                </c:pt>
                <c:pt idx="17">
                  <c:v>7594.71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753496"/>
        <c:axId val="64919508"/>
      </c:lineChart>
      <c:catAx>
        <c:axId val="5375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19508"/>
        <c:crosses val="autoZero"/>
        <c:auto val="1"/>
        <c:lblAlgn val="ctr"/>
        <c:lblOffset val="100"/>
        <c:noMultiLvlLbl val="0"/>
      </c:catAx>
      <c:valAx>
        <c:axId val="64919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534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Dashboard!I12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Dashboard!$H$13:$H$15</c:f>
              <c:strCache>
                <c:ptCount val="3"/>
                <c:pt idx="0">
                  <c:v>Online</c:v>
                </c:pt>
                <c:pt idx="1">
                  <c:v>In-Store</c:v>
                </c:pt>
                <c:pt idx="2">
                  <c:v>Wholesale</c:v>
                </c:pt>
              </c:strCache>
            </c:strRef>
          </c:cat>
          <c:val>
            <c:numRef>
              <c:f>Dashboard!$I$13:$I$15</c:f>
              <c:numCache>
                <c:formatCode>\$#,##0</c:formatCode>
                <c:ptCount val="3"/>
                <c:pt idx="0">
                  <c:v>49797.45</c:v>
                </c:pt>
                <c:pt idx="1">
                  <c:v>47785.66</c:v>
                </c:pt>
                <c:pt idx="2">
                  <c:v>44456.11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86400</xdr:rowOff>
    </xdr:from>
    <xdr:to>
      <xdr:col>6</xdr:col>
      <xdr:colOff>120960</xdr:colOff>
      <xdr:row>33</xdr:row>
      <xdr:rowOff>108360</xdr:rowOff>
    </xdr:to>
    <xdr:graphicFrame>
      <xdr:nvGraphicFramePr>
        <xdr:cNvPr id="0" name="Chart 1"/>
        <xdr:cNvGraphicFramePr/>
      </xdr:nvGraphicFramePr>
      <xdr:xfrm>
        <a:off x="14112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86400</xdr:rowOff>
    </xdr:from>
    <xdr:to>
      <xdr:col>11</xdr:col>
      <xdr:colOff>120960</xdr:colOff>
      <xdr:row>33</xdr:row>
      <xdr:rowOff>108360</xdr:rowOff>
    </xdr:to>
    <xdr:graphicFrame>
      <xdr:nvGraphicFramePr>
        <xdr:cNvPr id="1" name="Chart 2"/>
        <xdr:cNvGraphicFramePr/>
      </xdr:nvGraphicFramePr>
      <xdr:xfrm>
        <a:off x="577980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86400</xdr:rowOff>
    </xdr:from>
    <xdr:to>
      <xdr:col>6</xdr:col>
      <xdr:colOff>120960</xdr:colOff>
      <xdr:row>50</xdr:row>
      <xdr:rowOff>108360</xdr:rowOff>
    </xdr:to>
    <xdr:graphicFrame>
      <xdr:nvGraphicFramePr>
        <xdr:cNvPr id="2" name="Chart 3"/>
        <xdr:cNvGraphicFramePr/>
      </xdr:nvGraphicFramePr>
      <xdr:xfrm>
        <a:off x="14112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35</xdr:row>
      <xdr:rowOff>86400</xdr:rowOff>
    </xdr:from>
    <xdr:to>
      <xdr:col>11</xdr:col>
      <xdr:colOff>120960</xdr:colOff>
      <xdr:row>50</xdr:row>
      <xdr:rowOff>108360</xdr:rowOff>
    </xdr:to>
    <xdr:graphicFrame>
      <xdr:nvGraphicFramePr>
        <xdr:cNvPr id="3" name="Chart 4"/>
        <xdr:cNvGraphicFramePr/>
      </xdr:nvGraphicFramePr>
      <xdr:xfrm>
        <a:off x="577980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4" customFormat="false" ht="16.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9" customFormat="false" ht="16.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7" customFormat="false" ht="16.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6" min="16" style="0" width="9"/>
    <col collapsed="false" customWidth="true" hidden="false" outlineLevel="0" max="17" min="17" style="0" width="12"/>
  </cols>
  <sheetData>
    <row r="1" customFormat="false" ht="25.35" hidden="false" customHeight="fals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</row>
    <row r="2" customFormat="false" ht="15" hidden="false" customHeight="false" outlineLevel="0" collapsed="false">
      <c r="A2" s="4" t="n">
        <v>10159</v>
      </c>
      <c r="B2" s="4" t="s">
        <v>42</v>
      </c>
      <c r="C2" s="4" t="s">
        <v>43</v>
      </c>
      <c r="D2" s="4" t="s">
        <v>44</v>
      </c>
      <c r="E2" s="4" t="s">
        <v>45</v>
      </c>
      <c r="F2" s="4" t="n">
        <v>1</v>
      </c>
      <c r="G2" s="4" t="s">
        <v>46</v>
      </c>
      <c r="H2" s="4" t="s">
        <v>47</v>
      </c>
      <c r="I2" s="4" t="s">
        <v>48</v>
      </c>
      <c r="J2" s="6" t="n">
        <f aca="false">IFERROR(DATEVALUE(B2),"")</f>
        <v>45752</v>
      </c>
      <c r="K2" s="4" t="str">
        <f aca="false">IF(A2="","",PROPER(TRIM(C2)))</f>
        <v>South</v>
      </c>
      <c r="L2" s="4" t="str">
        <f aca="false">IF(A2="","",PROPER(TRIM(D2)))</f>
        <v>Accessories</v>
      </c>
      <c r="M2" s="4" t="n">
        <f aca="false">IFERROR(VALUE(F2),0)</f>
        <v>1</v>
      </c>
      <c r="N2" s="7" t="n">
        <f aca="false">IFERROR(VALUE(SUBSTITUTE(G2,"$","")),0)</f>
        <v>49.35</v>
      </c>
      <c r="O2" s="4" t="n">
        <f aca="false">IF(A2="",0,IF(COUNTIF($A$2:A2,A2)&gt;1,1,0))</f>
        <v>0</v>
      </c>
      <c r="P2" s="4" t="n">
        <f aca="false">IF(AND(A2&lt;&gt;"",J2&lt;&gt;"",M2&gt;0,N2&gt;0,O2=0),1,0)</f>
        <v>1</v>
      </c>
      <c r="Q2" s="7" t="n">
        <f aca="false">IF(P2=1,M2*N2,0)</f>
        <v>49.35</v>
      </c>
    </row>
    <row r="3" customFormat="false" ht="15" hidden="false" customHeight="false" outlineLevel="0" collapsed="false">
      <c r="A3" s="4" t="n">
        <v>10365</v>
      </c>
      <c r="B3" s="4" t="s">
        <v>49</v>
      </c>
      <c r="C3" s="4" t="s">
        <v>50</v>
      </c>
      <c r="D3" s="4" t="s">
        <v>51</v>
      </c>
      <c r="E3" s="4" t="s">
        <v>52</v>
      </c>
      <c r="F3" s="4" t="n">
        <v>1</v>
      </c>
      <c r="G3" s="4" t="s">
        <v>53</v>
      </c>
      <c r="H3" s="4" t="s">
        <v>54</v>
      </c>
      <c r="I3" s="4" t="s">
        <v>55</v>
      </c>
      <c r="J3" s="6" t="n">
        <f aca="false">IFERROR(DATEVALUE(B3),"")</f>
        <v>45670</v>
      </c>
      <c r="K3" s="4" t="str">
        <f aca="false">IF(A3="","",PROPER(TRIM(C3)))</f>
        <v>Midwest</v>
      </c>
      <c r="L3" s="4" t="str">
        <f aca="false">IF(A3="","",PROPER(TRIM(D3)))</f>
        <v>Accessories</v>
      </c>
      <c r="M3" s="4" t="n">
        <f aca="false">IFERROR(VALUE(F3),0)</f>
        <v>1</v>
      </c>
      <c r="N3" s="7" t="n">
        <f aca="false">IFERROR(VALUE(SUBSTITUTE(G3,"$","")),0)</f>
        <v>84.12</v>
      </c>
      <c r="O3" s="4" t="n">
        <f aca="false">IF(A3="",0,IF(COUNTIF($A$2:A3,A3)&gt;1,1,0))</f>
        <v>0</v>
      </c>
      <c r="P3" s="4" t="n">
        <f aca="false">IF(AND(A3&lt;&gt;"",J3&lt;&gt;"",M3&gt;0,N3&gt;0,O3=0),1,0)</f>
        <v>1</v>
      </c>
      <c r="Q3" s="7" t="n">
        <f aca="false">IF(P3=1,M3*N3,0)</f>
        <v>84.12</v>
      </c>
    </row>
    <row r="4" customFormat="false" ht="15" hidden="false" customHeight="false" outlineLevel="0" collapsed="false">
      <c r="A4" s="4" t="n">
        <v>10039</v>
      </c>
      <c r="B4" s="4" t="s">
        <v>56</v>
      </c>
      <c r="C4" s="4" t="s">
        <v>57</v>
      </c>
      <c r="D4" s="4" t="s">
        <v>58</v>
      </c>
      <c r="E4" s="4" t="s">
        <v>59</v>
      </c>
      <c r="F4" s="4" t="n">
        <v>1</v>
      </c>
      <c r="G4" s="4" t="s">
        <v>60</v>
      </c>
      <c r="H4" s="4" t="s">
        <v>54</v>
      </c>
      <c r="I4" s="4" t="s">
        <v>61</v>
      </c>
      <c r="J4" s="6" t="n">
        <f aca="false">IFERROR(DATEVALUE(B4),"")</f>
        <v>45507</v>
      </c>
      <c r="K4" s="4" t="str">
        <f aca="false">IF(A4="","",PROPER(TRIM(C4)))</f>
        <v>West</v>
      </c>
      <c r="L4" s="4" t="str">
        <f aca="false">IF(A4="","",PROPER(TRIM(D4)))</f>
        <v>Climbing Gear</v>
      </c>
      <c r="M4" s="4" t="n">
        <f aca="false">IFERROR(VALUE(F4),0)</f>
        <v>1</v>
      </c>
      <c r="N4" s="7" t="n">
        <f aca="false">IFERROR(VALUE(SUBSTITUTE(G4,"$","")),0)</f>
        <v>39.86</v>
      </c>
      <c r="O4" s="4" t="n">
        <f aca="false">IF(A4="",0,IF(COUNTIF($A$2:A4,A4)&gt;1,1,0))</f>
        <v>0</v>
      </c>
      <c r="P4" s="4" t="n">
        <f aca="false">IF(AND(A4&lt;&gt;"",J4&lt;&gt;"",M4&gt;0,N4&gt;0,O4=0),1,0)</f>
        <v>1</v>
      </c>
      <c r="Q4" s="7" t="n">
        <f aca="false">IF(P4=1,M4*N4,0)</f>
        <v>39.86</v>
      </c>
    </row>
    <row r="5" customFormat="false" ht="15" hidden="false" customHeight="false" outlineLevel="0" collapsed="false">
      <c r="A5" s="4" t="n">
        <v>10222</v>
      </c>
      <c r="B5" s="4" t="s">
        <v>62</v>
      </c>
      <c r="C5" s="4" t="s">
        <v>63</v>
      </c>
      <c r="D5" s="4" t="s">
        <v>64</v>
      </c>
      <c r="E5" s="4" t="s">
        <v>65</v>
      </c>
      <c r="F5" s="4" t="n">
        <v>2</v>
      </c>
      <c r="G5" s="4" t="s">
        <v>66</v>
      </c>
      <c r="H5" s="4" t="s">
        <v>54</v>
      </c>
      <c r="I5" s="4" t="s">
        <v>67</v>
      </c>
      <c r="J5" s="6" t="n">
        <f aca="false">IFERROR(DATEVALUE(B5),"")</f>
        <v>45474</v>
      </c>
      <c r="K5" s="4" t="str">
        <f aca="false">IF(A5="","",PROPER(TRIM(C5)))</f>
        <v>Midwest</v>
      </c>
      <c r="L5" s="4" t="str">
        <f aca="false">IF(A5="","",PROPER(TRIM(D5)))</f>
        <v>Footwear</v>
      </c>
      <c r="M5" s="4" t="n">
        <f aca="false">IFERROR(VALUE(F5),0)</f>
        <v>2</v>
      </c>
      <c r="N5" s="7" t="n">
        <f aca="false">IFERROR(VALUE(SUBSTITUTE(G5,"$","")),0)</f>
        <v>50.28</v>
      </c>
      <c r="O5" s="4" t="n">
        <f aca="false">IF(A5="",0,IF(COUNTIF($A$2:A5,A5)&gt;1,1,0))</f>
        <v>0</v>
      </c>
      <c r="P5" s="4" t="n">
        <f aca="false">IF(AND(A5&lt;&gt;"",J5&lt;&gt;"",M5&gt;0,N5&gt;0,O5=0),1,0)</f>
        <v>1</v>
      </c>
      <c r="Q5" s="7" t="n">
        <f aca="false">IF(P5=1,M5*N5,0)</f>
        <v>100.56</v>
      </c>
    </row>
    <row r="6" customFormat="false" ht="15" hidden="false" customHeight="false" outlineLevel="0" collapsed="false">
      <c r="A6" s="4" t="n">
        <v>10292</v>
      </c>
      <c r="B6" s="4" t="s">
        <v>68</v>
      </c>
      <c r="C6" s="4" t="s">
        <v>69</v>
      </c>
      <c r="D6" s="4" t="s">
        <v>70</v>
      </c>
      <c r="E6" s="4" t="s">
        <v>71</v>
      </c>
      <c r="F6" s="4" t="n">
        <v>3</v>
      </c>
      <c r="G6" s="4" t="s">
        <v>72</v>
      </c>
      <c r="H6" s="4" t="s">
        <v>73</v>
      </c>
      <c r="I6" s="4" t="s">
        <v>74</v>
      </c>
      <c r="J6" s="6" t="n">
        <f aca="false">IFERROR(DATEVALUE(B6),"")</f>
        <v>45472</v>
      </c>
      <c r="K6" s="4" t="str">
        <f aca="false">IF(A6="","",PROPER(TRIM(C6)))</f>
        <v>East</v>
      </c>
      <c r="L6" s="4" t="str">
        <f aca="false">IF(A6="","",PROPER(TRIM(D6)))</f>
        <v>Camping Gear</v>
      </c>
      <c r="M6" s="4" t="n">
        <f aca="false">IFERROR(VALUE(F6),0)</f>
        <v>3</v>
      </c>
      <c r="N6" s="7" t="n">
        <f aca="false">IFERROR(VALUE(SUBSTITUTE(G6,"$","")),0)</f>
        <v>67.3</v>
      </c>
      <c r="O6" s="4" t="n">
        <f aca="false">IF(A6="",0,IF(COUNTIF($A$2:A6,A6)&gt;1,1,0))</f>
        <v>0</v>
      </c>
      <c r="P6" s="4" t="n">
        <f aca="false">IF(AND(A6&lt;&gt;"",J6&lt;&gt;"",M6&gt;0,N6&gt;0,O6=0),1,0)</f>
        <v>1</v>
      </c>
      <c r="Q6" s="7" t="n">
        <f aca="false">IF(P6=1,M6*N6,0)</f>
        <v>201.9</v>
      </c>
    </row>
    <row r="7" customFormat="false" ht="15" hidden="false" customHeight="false" outlineLevel="0" collapsed="false">
      <c r="A7" s="4" t="n">
        <v>10567</v>
      </c>
      <c r="B7" s="4" t="s">
        <v>75</v>
      </c>
      <c r="C7" s="4" t="s">
        <v>63</v>
      </c>
      <c r="D7" s="4" t="s">
        <v>76</v>
      </c>
      <c r="E7" s="4" t="s">
        <v>77</v>
      </c>
      <c r="F7" s="4" t="n">
        <v>1</v>
      </c>
      <c r="G7" s="4" t="s">
        <v>78</v>
      </c>
      <c r="H7" s="4" t="s">
        <v>73</v>
      </c>
      <c r="I7" s="4" t="s">
        <v>61</v>
      </c>
      <c r="J7" s="6" t="n">
        <f aca="false">IFERROR(DATEVALUE(B7),"")</f>
        <v>45356</v>
      </c>
      <c r="K7" s="4" t="str">
        <f aca="false">IF(A7="","",PROPER(TRIM(C7)))</f>
        <v>Midwest</v>
      </c>
      <c r="L7" s="4" t="str">
        <f aca="false">IF(A7="","",PROPER(TRIM(D7)))</f>
        <v>Footwear</v>
      </c>
      <c r="M7" s="4" t="n">
        <f aca="false">IFERROR(VALUE(F7),0)</f>
        <v>1</v>
      </c>
      <c r="N7" s="7" t="n">
        <f aca="false">IFERROR(VALUE(SUBSTITUTE(G7,"$","")),0)</f>
        <v>119.86</v>
      </c>
      <c r="O7" s="4" t="n">
        <f aca="false">IF(A7="",0,IF(COUNTIF($A$2:A7,A7)&gt;1,1,0))</f>
        <v>0</v>
      </c>
      <c r="P7" s="4" t="n">
        <f aca="false">IF(AND(A7&lt;&gt;"",J7&lt;&gt;"",M7&gt;0,N7&gt;0,O7=0),1,0)</f>
        <v>1</v>
      </c>
      <c r="Q7" s="7" t="n">
        <f aca="false">IF(P7=1,M7*N7,0)</f>
        <v>119.86</v>
      </c>
    </row>
    <row r="8" customFormat="false" ht="15" hidden="false" customHeight="false" outlineLevel="0" collapsed="false">
      <c r="A8" s="4" t="n">
        <v>10165</v>
      </c>
      <c r="B8" s="4" t="s">
        <v>79</v>
      </c>
      <c r="C8" s="4" t="s">
        <v>80</v>
      </c>
      <c r="D8" s="4" t="s">
        <v>81</v>
      </c>
      <c r="E8" s="4" t="s">
        <v>77</v>
      </c>
      <c r="F8" s="4" t="n">
        <v>2</v>
      </c>
      <c r="G8" s="4" t="s">
        <v>82</v>
      </c>
      <c r="H8" s="4" t="s">
        <v>47</v>
      </c>
      <c r="I8" s="4" t="s">
        <v>83</v>
      </c>
      <c r="J8" s="6" t="n">
        <f aca="false">IFERROR(DATEVALUE(B8),"")</f>
        <v>45568</v>
      </c>
      <c r="K8" s="4" t="str">
        <f aca="false">IF(A8="","",PROPER(TRIM(C8)))</f>
        <v>South</v>
      </c>
      <c r="L8" s="4" t="str">
        <f aca="false">IF(A8="","",PROPER(TRIM(D8)))</f>
        <v>Footwear</v>
      </c>
      <c r="M8" s="4" t="n">
        <f aca="false">IFERROR(VALUE(F8),0)</f>
        <v>2</v>
      </c>
      <c r="N8" s="7" t="n">
        <f aca="false">IFERROR(VALUE(SUBSTITUTE(G8,"$","")),0)</f>
        <v>134.62</v>
      </c>
      <c r="O8" s="4" t="n">
        <f aca="false">IF(A8="",0,IF(COUNTIF($A$2:A8,A8)&gt;1,1,0))</f>
        <v>0</v>
      </c>
      <c r="P8" s="4" t="n">
        <f aca="false">IF(AND(A8&lt;&gt;"",J8&lt;&gt;"",M8&gt;0,N8&gt;0,O8=0),1,0)</f>
        <v>1</v>
      </c>
      <c r="Q8" s="7" t="n">
        <f aca="false">IF(P8=1,M8*N8,0)</f>
        <v>269.24</v>
      </c>
    </row>
    <row r="9" customFormat="false" ht="15" hidden="false" customHeight="false" outlineLevel="0" collapsed="false">
      <c r="A9" s="4" t="n">
        <v>10501</v>
      </c>
      <c r="B9" s="4" t="s">
        <v>84</v>
      </c>
      <c r="C9" s="4" t="s">
        <v>50</v>
      </c>
      <c r="D9" s="4" t="s">
        <v>81</v>
      </c>
      <c r="E9" s="4" t="s">
        <v>65</v>
      </c>
      <c r="F9" s="4" t="n">
        <v>1</v>
      </c>
      <c r="G9" s="4" t="s">
        <v>85</v>
      </c>
      <c r="H9" s="4" t="s">
        <v>47</v>
      </c>
      <c r="I9" s="4" t="s">
        <v>86</v>
      </c>
      <c r="J9" s="6" t="n">
        <f aca="false">IFERROR(DATEVALUE(B9),"")</f>
        <v>45594</v>
      </c>
      <c r="K9" s="4" t="str">
        <f aca="false">IF(A9="","",PROPER(TRIM(C9)))</f>
        <v>Midwest</v>
      </c>
      <c r="L9" s="4" t="str">
        <f aca="false">IF(A9="","",PROPER(TRIM(D9)))</f>
        <v>Footwear</v>
      </c>
      <c r="M9" s="4" t="n">
        <f aca="false">IFERROR(VALUE(F9),0)</f>
        <v>1</v>
      </c>
      <c r="N9" s="7" t="n">
        <f aca="false">IFERROR(VALUE(SUBSTITUTE(G9,"$","")),0)</f>
        <v>55.22</v>
      </c>
      <c r="O9" s="4" t="n">
        <f aca="false">IF(A9="",0,IF(COUNTIF($A$2:A9,A9)&gt;1,1,0))</f>
        <v>0</v>
      </c>
      <c r="P9" s="4" t="n">
        <f aca="false">IF(AND(A9&lt;&gt;"",J9&lt;&gt;"",M9&gt;0,N9&gt;0,O9=0),1,0)</f>
        <v>1</v>
      </c>
      <c r="Q9" s="7" t="n">
        <f aca="false">IF(P9=1,M9*N9,0)</f>
        <v>55.22</v>
      </c>
    </row>
    <row r="10" customFormat="false" ht="15" hidden="false" customHeight="false" outlineLevel="0" collapsed="false">
      <c r="A10" s="4" t="n">
        <v>10310</v>
      </c>
      <c r="B10" s="4" t="s">
        <v>87</v>
      </c>
      <c r="C10" s="4" t="s">
        <v>50</v>
      </c>
      <c r="D10" s="4" t="s">
        <v>88</v>
      </c>
      <c r="E10" s="4" t="s">
        <v>89</v>
      </c>
      <c r="F10" s="4" t="n">
        <v>3</v>
      </c>
      <c r="G10" s="4" t="s">
        <v>90</v>
      </c>
      <c r="H10" s="4" t="s">
        <v>47</v>
      </c>
      <c r="I10" s="4" t="s">
        <v>91</v>
      </c>
      <c r="J10" s="6" t="n">
        <f aca="false">IFERROR(DATEVALUE(B10),"")</f>
        <v>45600</v>
      </c>
      <c r="K10" s="4" t="str">
        <f aca="false">IF(A10="","",PROPER(TRIM(C10)))</f>
        <v>Midwest</v>
      </c>
      <c r="L10" s="4" t="str">
        <f aca="false">IF(A10="","",PROPER(TRIM(D10)))</f>
        <v>Apparel</v>
      </c>
      <c r="M10" s="4" t="n">
        <f aca="false">IFERROR(VALUE(F10),0)</f>
        <v>3</v>
      </c>
      <c r="N10" s="7" t="n">
        <f aca="false">IFERROR(VALUE(SUBSTITUTE(G10,"$","")),0)</f>
        <v>59.53</v>
      </c>
      <c r="O10" s="4" t="n">
        <f aca="false">IF(A10="",0,IF(COUNTIF($A$2:A10,A10)&gt;1,1,0))</f>
        <v>0</v>
      </c>
      <c r="P10" s="4" t="n">
        <f aca="false">IF(AND(A10&lt;&gt;"",J10&lt;&gt;"",M10&gt;0,N10&gt;0,O10=0),1,0)</f>
        <v>1</v>
      </c>
      <c r="Q10" s="7" t="n">
        <f aca="false">IF(P10=1,M10*N10,0)</f>
        <v>178.59</v>
      </c>
    </row>
    <row r="11" customFormat="false" ht="15" hidden="false" customHeight="false" outlineLevel="0" collapsed="false">
      <c r="A11" s="4" t="n">
        <v>10429</v>
      </c>
      <c r="B11" s="4" t="s">
        <v>92</v>
      </c>
      <c r="C11" s="4" t="s">
        <v>93</v>
      </c>
      <c r="D11" s="4" t="s">
        <v>58</v>
      </c>
      <c r="E11" s="4" t="s">
        <v>94</v>
      </c>
      <c r="F11" s="4" t="n">
        <v>3</v>
      </c>
      <c r="G11" s="4" t="s">
        <v>95</v>
      </c>
      <c r="H11" s="4" t="s">
        <v>47</v>
      </c>
      <c r="I11" s="4" t="s">
        <v>96</v>
      </c>
      <c r="J11" s="6" t="n">
        <f aca="false">IFERROR(DATEVALUE(B11),"")</f>
        <v>45304</v>
      </c>
      <c r="K11" s="4" t="str">
        <f aca="false">IF(A11="","",PROPER(TRIM(C11)))</f>
        <v>West</v>
      </c>
      <c r="L11" s="4" t="str">
        <f aca="false">IF(A11="","",PROPER(TRIM(D11)))</f>
        <v>Climbing Gear</v>
      </c>
      <c r="M11" s="4" t="n">
        <f aca="false">IFERROR(VALUE(F11),0)</f>
        <v>3</v>
      </c>
      <c r="N11" s="7" t="n">
        <f aca="false">IFERROR(VALUE(SUBSTITUTE(G11,"$","")),0)</f>
        <v>152.85</v>
      </c>
      <c r="O11" s="4" t="n">
        <f aca="false">IF(A11="",0,IF(COUNTIF($A$2:A11,A11)&gt;1,1,0))</f>
        <v>0</v>
      </c>
      <c r="P11" s="4" t="n">
        <f aca="false">IF(AND(A11&lt;&gt;"",J11&lt;&gt;"",M11&gt;0,N11&gt;0,O11=0),1,0)</f>
        <v>1</v>
      </c>
      <c r="Q11" s="7" t="n">
        <f aca="false">IF(P11=1,M11*N11,0)</f>
        <v>458.55</v>
      </c>
    </row>
    <row r="12" customFormat="false" ht="15" hidden="false" customHeight="false" outlineLevel="0" collapsed="false">
      <c r="A12" s="4" t="n">
        <v>10647</v>
      </c>
      <c r="B12" s="4" t="s">
        <v>97</v>
      </c>
      <c r="C12" s="4" t="s">
        <v>57</v>
      </c>
      <c r="D12" s="4" t="s">
        <v>64</v>
      </c>
      <c r="E12" s="4" t="s">
        <v>65</v>
      </c>
      <c r="F12" s="4" t="n">
        <v>0</v>
      </c>
      <c r="G12" s="4" t="s">
        <v>98</v>
      </c>
      <c r="H12" s="4" t="s">
        <v>47</v>
      </c>
      <c r="I12" s="4" t="s">
        <v>99</v>
      </c>
      <c r="J12" s="6" t="n">
        <f aca="false">IFERROR(DATEVALUE(B12),"")</f>
        <v>45655</v>
      </c>
      <c r="K12" s="4" t="str">
        <f aca="false">IF(A12="","",PROPER(TRIM(C12)))</f>
        <v>West</v>
      </c>
      <c r="L12" s="4" t="str">
        <f aca="false">IF(A12="","",PROPER(TRIM(D12)))</f>
        <v>Footwear</v>
      </c>
      <c r="M12" s="4" t="n">
        <f aca="false">IFERROR(VALUE(F12),0)</f>
        <v>0</v>
      </c>
      <c r="N12" s="7" t="n">
        <f aca="false">IFERROR(VALUE(SUBSTITUTE(G12,"$","")),0)</f>
        <v>56.73</v>
      </c>
      <c r="O12" s="4" t="n">
        <f aca="false">IF(A12="",0,IF(COUNTIF($A$2:A12,A12)&gt;1,1,0))</f>
        <v>0</v>
      </c>
      <c r="P12" s="4" t="n">
        <f aca="false">IF(AND(A12&lt;&gt;"",J12&lt;&gt;"",M12&gt;0,N12&gt;0,O12=0),1,0)</f>
        <v>0</v>
      </c>
      <c r="Q12" s="7" t="n">
        <f aca="false">IF(P12=1,M12*N12,0)</f>
        <v>0</v>
      </c>
    </row>
    <row r="13" customFormat="false" ht="15" hidden="false" customHeight="false" outlineLevel="0" collapsed="false">
      <c r="A13" s="4" t="n">
        <v>10514</v>
      </c>
      <c r="B13" s="4" t="s">
        <v>100</v>
      </c>
      <c r="C13" s="4" t="s">
        <v>93</v>
      </c>
      <c r="D13" s="4" t="s">
        <v>101</v>
      </c>
      <c r="E13" s="4" t="s">
        <v>52</v>
      </c>
      <c r="F13" s="4" t="n">
        <v>1</v>
      </c>
      <c r="G13" s="4" t="s">
        <v>102</v>
      </c>
      <c r="H13" s="4" t="s">
        <v>54</v>
      </c>
      <c r="I13" s="4" t="s">
        <v>103</v>
      </c>
      <c r="J13" s="6" t="n">
        <f aca="false">IFERROR(DATEVALUE(B13),"")</f>
        <v>45518</v>
      </c>
      <c r="K13" s="4" t="str">
        <f aca="false">IF(A13="","",PROPER(TRIM(C13)))</f>
        <v>West</v>
      </c>
      <c r="L13" s="4" t="str">
        <f aca="false">IF(A13="","",PROPER(TRIM(D13)))</f>
        <v>Accessories</v>
      </c>
      <c r="M13" s="4" t="n">
        <f aca="false">IFERROR(VALUE(F13),0)</f>
        <v>1</v>
      </c>
      <c r="N13" s="7" t="n">
        <f aca="false">IFERROR(VALUE(SUBSTITUTE(G13,"$","")),0)</f>
        <v>84.9</v>
      </c>
      <c r="O13" s="4" t="n">
        <f aca="false">IF(A13="",0,IF(COUNTIF($A$2:A13,A13)&gt;1,1,0))</f>
        <v>0</v>
      </c>
      <c r="P13" s="4" t="n">
        <f aca="false">IF(AND(A13&lt;&gt;"",J13&lt;&gt;"",M13&gt;0,N13&gt;0,O13=0),1,0)</f>
        <v>1</v>
      </c>
      <c r="Q13" s="7" t="n">
        <f aca="false">IF(P13=1,M13*N13,0)</f>
        <v>84.9</v>
      </c>
    </row>
    <row r="14" customFormat="false" ht="15" hidden="false" customHeight="false" outlineLevel="0" collapsed="false">
      <c r="A14" s="4" t="n">
        <v>10632</v>
      </c>
      <c r="B14" s="4" t="s">
        <v>104</v>
      </c>
      <c r="C14" s="4" t="s">
        <v>105</v>
      </c>
      <c r="D14" s="4" t="s">
        <v>106</v>
      </c>
      <c r="E14" s="4" t="s">
        <v>65</v>
      </c>
      <c r="F14" s="4" t="n">
        <v>2</v>
      </c>
      <c r="G14" s="4" t="s">
        <v>107</v>
      </c>
      <c r="H14" s="4" t="s">
        <v>73</v>
      </c>
      <c r="I14" s="4" t="s">
        <v>108</v>
      </c>
      <c r="J14" s="6" t="n">
        <f aca="false">IFERROR(DATEVALUE(B14),"")</f>
        <v>45372</v>
      </c>
      <c r="K14" s="4" t="str">
        <f aca="false">IF(A14="","",PROPER(TRIM(C14)))</f>
        <v>Midwest</v>
      </c>
      <c r="L14" s="4" t="str">
        <f aca="false">IF(A14="","",PROPER(TRIM(D14)))</f>
        <v>Footwear</v>
      </c>
      <c r="M14" s="4" t="n">
        <f aca="false">IFERROR(VALUE(F14),0)</f>
        <v>2</v>
      </c>
      <c r="N14" s="7" t="n">
        <f aca="false">IFERROR(VALUE(SUBSTITUTE(G14,"$","")),0)</f>
        <v>52.55</v>
      </c>
      <c r="O14" s="4" t="n">
        <f aca="false">IF(A14="",0,IF(COUNTIF($A$2:A14,A14)&gt;1,1,0))</f>
        <v>0</v>
      </c>
      <c r="P14" s="4" t="n">
        <f aca="false">IF(AND(A14&lt;&gt;"",J14&lt;&gt;"",M14&gt;0,N14&gt;0,O14=0),1,0)</f>
        <v>1</v>
      </c>
      <c r="Q14" s="7" t="n">
        <f aca="false">IF(P14=1,M14*N14,0)</f>
        <v>105.1</v>
      </c>
    </row>
    <row r="15" customFormat="false" ht="15" hidden="false" customHeight="false" outlineLevel="0" collapsed="false">
      <c r="A15" s="4" t="n">
        <v>10326</v>
      </c>
      <c r="B15" s="4" t="s">
        <v>109</v>
      </c>
      <c r="C15" s="4" t="s">
        <v>110</v>
      </c>
      <c r="D15" s="4" t="s">
        <v>106</v>
      </c>
      <c r="E15" s="4" t="s">
        <v>111</v>
      </c>
      <c r="F15" s="4" t="n">
        <v>2</v>
      </c>
      <c r="G15" s="4" t="s">
        <v>112</v>
      </c>
      <c r="H15" s="4" t="s">
        <v>54</v>
      </c>
      <c r="I15" s="4" t="s">
        <v>113</v>
      </c>
      <c r="J15" s="6" t="n">
        <f aca="false">IFERROR(DATEVALUE(B15),"")</f>
        <v>45606</v>
      </c>
      <c r="K15" s="4" t="str">
        <f aca="false">IF(A15="","",PROPER(TRIM(C15)))</f>
        <v>Midwest</v>
      </c>
      <c r="L15" s="4" t="str">
        <f aca="false">IF(A15="","",PROPER(TRIM(D15)))</f>
        <v>Footwear</v>
      </c>
      <c r="M15" s="4" t="n">
        <f aca="false">IFERROR(VALUE(F15),0)</f>
        <v>2</v>
      </c>
      <c r="N15" s="7" t="n">
        <f aca="false">IFERROR(VALUE(SUBSTITUTE(G15,"$","")),0)</f>
        <v>97.97</v>
      </c>
      <c r="O15" s="4" t="n">
        <f aca="false">IF(A15="",0,IF(COUNTIF($A$2:A15,A15)&gt;1,1,0))</f>
        <v>0</v>
      </c>
      <c r="P15" s="4" t="n">
        <f aca="false">IF(AND(A15&lt;&gt;"",J15&lt;&gt;"",M15&gt;0,N15&gt;0,O15=0),1,0)</f>
        <v>1</v>
      </c>
      <c r="Q15" s="7" t="n">
        <f aca="false">IF(P15=1,M15*N15,0)</f>
        <v>195.94</v>
      </c>
    </row>
    <row r="16" customFormat="false" ht="15" hidden="false" customHeight="false" outlineLevel="0" collapsed="false">
      <c r="A16" s="4" t="n">
        <v>10478</v>
      </c>
      <c r="B16" s="4" t="s">
        <v>114</v>
      </c>
      <c r="C16" s="4" t="s">
        <v>63</v>
      </c>
      <c r="D16" s="4" t="s">
        <v>115</v>
      </c>
      <c r="E16" s="4" t="s">
        <v>116</v>
      </c>
      <c r="F16" s="4" t="n">
        <v>1</v>
      </c>
      <c r="G16" s="4" t="s">
        <v>117</v>
      </c>
      <c r="H16" s="4" t="s">
        <v>47</v>
      </c>
      <c r="I16" s="4" t="s">
        <v>118</v>
      </c>
      <c r="J16" s="6" t="n">
        <f aca="false">IFERROR(DATEVALUE(B16),"")</f>
        <v>45510</v>
      </c>
      <c r="K16" s="4" t="str">
        <f aca="false">IF(A16="","",PROPER(TRIM(C16)))</f>
        <v>Midwest</v>
      </c>
      <c r="L16" s="4" t="str">
        <f aca="false">IF(A16="","",PROPER(TRIM(D16)))</f>
        <v>Apparel</v>
      </c>
      <c r="M16" s="4" t="n">
        <f aca="false">IFERROR(VALUE(F16),0)</f>
        <v>1</v>
      </c>
      <c r="N16" s="7" t="n">
        <f aca="false">IFERROR(VALUE(SUBSTITUTE(G16,"$","")),0)</f>
        <v>65.3</v>
      </c>
      <c r="O16" s="4" t="n">
        <f aca="false">IF(A16="",0,IF(COUNTIF($A$2:A16,A16)&gt;1,1,0))</f>
        <v>0</v>
      </c>
      <c r="P16" s="4" t="n">
        <f aca="false">IF(AND(A16&lt;&gt;"",J16&lt;&gt;"",M16&gt;0,N16&gt;0,O16=0),1,0)</f>
        <v>1</v>
      </c>
      <c r="Q16" s="7" t="n">
        <f aca="false">IF(P16=1,M16*N16,0)</f>
        <v>65.3</v>
      </c>
    </row>
    <row r="17" customFormat="false" ht="15" hidden="false" customHeight="false" outlineLevel="0" collapsed="false">
      <c r="A17" s="4" t="n">
        <v>10316</v>
      </c>
      <c r="B17" s="4" t="s">
        <v>119</v>
      </c>
      <c r="C17" s="4" t="s">
        <v>120</v>
      </c>
      <c r="D17" s="4" t="s">
        <v>64</v>
      </c>
      <c r="E17" s="4" t="s">
        <v>77</v>
      </c>
      <c r="F17" s="4" t="n">
        <v>1</v>
      </c>
      <c r="G17" s="4" t="s">
        <v>121</v>
      </c>
      <c r="H17" s="4" t="s">
        <v>54</v>
      </c>
      <c r="I17" s="4" t="s">
        <v>122</v>
      </c>
      <c r="J17" s="6" t="n">
        <f aca="false">IFERROR(DATEVALUE(B17),"")</f>
        <v>45316</v>
      </c>
      <c r="K17" s="4" t="str">
        <f aca="false">IF(A17="","",PROPER(TRIM(C17)))</f>
        <v>East</v>
      </c>
      <c r="L17" s="4" t="str">
        <f aca="false">IF(A17="","",PROPER(TRIM(D17)))</f>
        <v>Footwear</v>
      </c>
      <c r="M17" s="4" t="n">
        <f aca="false">IFERROR(VALUE(F17),0)</f>
        <v>1</v>
      </c>
      <c r="N17" s="7" t="n">
        <f aca="false">IFERROR(VALUE(SUBSTITUTE(G17,"$","")),0)</f>
        <v>124.43</v>
      </c>
      <c r="O17" s="4" t="n">
        <f aca="false">IF(A17="",0,IF(COUNTIF($A$2:A17,A17)&gt;1,1,0))</f>
        <v>0</v>
      </c>
      <c r="P17" s="4" t="n">
        <f aca="false">IF(AND(A17&lt;&gt;"",J17&lt;&gt;"",M17&gt;0,N17&gt;0,O17=0),1,0)</f>
        <v>1</v>
      </c>
      <c r="Q17" s="7" t="n">
        <f aca="false">IF(P17=1,M17*N17,0)</f>
        <v>124.43</v>
      </c>
    </row>
    <row r="18" customFormat="false" ht="15" hidden="false" customHeight="false" outlineLevel="0" collapsed="false">
      <c r="A18" s="4" t="n">
        <v>10702</v>
      </c>
      <c r="B18" s="4" t="s">
        <v>123</v>
      </c>
      <c r="C18" s="4" t="s">
        <v>50</v>
      </c>
      <c r="D18" s="4" t="s">
        <v>124</v>
      </c>
      <c r="E18" s="4" t="s">
        <v>125</v>
      </c>
      <c r="F18" s="4" t="n">
        <v>1</v>
      </c>
      <c r="G18" s="4" t="s">
        <v>126</v>
      </c>
      <c r="H18" s="4" t="s">
        <v>54</v>
      </c>
      <c r="I18" s="4" t="s">
        <v>127</v>
      </c>
      <c r="J18" s="6" t="n">
        <f aca="false">IFERROR(DATEVALUE(B18),"")</f>
        <v>45519</v>
      </c>
      <c r="K18" s="4" t="str">
        <f aca="false">IF(A18="","",PROPER(TRIM(C18)))</f>
        <v>Midwest</v>
      </c>
      <c r="L18" s="4" t="str">
        <f aca="false">IF(A18="","",PROPER(TRIM(D18)))</f>
        <v>Climbing Gear</v>
      </c>
      <c r="M18" s="4" t="n">
        <f aca="false">IFERROR(VALUE(F18),0)</f>
        <v>1</v>
      </c>
      <c r="N18" s="7" t="n">
        <f aca="false">IFERROR(VALUE(SUBSTITUTE(G18,"$","")),0)</f>
        <v>99.11</v>
      </c>
      <c r="O18" s="4" t="n">
        <f aca="false">IF(A18="",0,IF(COUNTIF($A$2:A18,A18)&gt;1,1,0))</f>
        <v>0</v>
      </c>
      <c r="P18" s="4" t="n">
        <f aca="false">IF(AND(A18&lt;&gt;"",J18&lt;&gt;"",M18&gt;0,N18&gt;0,O18=0),1,0)</f>
        <v>1</v>
      </c>
      <c r="Q18" s="7" t="n">
        <f aca="false">IF(P18=1,M18*N18,0)</f>
        <v>99.11</v>
      </c>
    </row>
    <row r="19" customFormat="false" ht="15" hidden="false" customHeight="false" outlineLevel="0" collapsed="false">
      <c r="A19" s="4" t="n">
        <v>10369</v>
      </c>
      <c r="B19" s="4" t="s">
        <v>128</v>
      </c>
      <c r="C19" s="4" t="s">
        <v>93</v>
      </c>
      <c r="D19" s="4" t="s">
        <v>129</v>
      </c>
      <c r="E19" s="4" t="s">
        <v>125</v>
      </c>
      <c r="F19" s="4" t="n">
        <v>2</v>
      </c>
      <c r="G19" s="4" t="s">
        <v>130</v>
      </c>
      <c r="H19" s="4" t="s">
        <v>73</v>
      </c>
      <c r="I19" s="4" t="s">
        <v>131</v>
      </c>
      <c r="J19" s="6" t="n">
        <f aca="false">IFERROR(DATEVALUE(B19),"")</f>
        <v>45452</v>
      </c>
      <c r="K19" s="4" t="str">
        <f aca="false">IF(A19="","",PROPER(TRIM(C19)))</f>
        <v>West</v>
      </c>
      <c r="L19" s="4" t="str">
        <f aca="false">IF(A19="","",PROPER(TRIM(D19)))</f>
        <v>Climbing Gear</v>
      </c>
      <c r="M19" s="4" t="n">
        <f aca="false">IFERROR(VALUE(F19),0)</f>
        <v>2</v>
      </c>
      <c r="N19" s="7" t="n">
        <f aca="false">IFERROR(VALUE(SUBSTITUTE(G19,"$","")),0)</f>
        <v>109</v>
      </c>
      <c r="O19" s="4" t="n">
        <f aca="false">IF(A19="",0,IF(COUNTIF($A$2:A19,A19)&gt;1,1,0))</f>
        <v>0</v>
      </c>
      <c r="P19" s="4" t="n">
        <f aca="false">IF(AND(A19&lt;&gt;"",J19&lt;&gt;"",M19&gt;0,N19&gt;0,O19=0),1,0)</f>
        <v>1</v>
      </c>
      <c r="Q19" s="7" t="n">
        <f aca="false">IF(P19=1,M19*N19,0)</f>
        <v>218</v>
      </c>
    </row>
    <row r="20" customFormat="false" ht="15" hidden="false" customHeight="false" outlineLevel="0" collapsed="false">
      <c r="A20" s="4" t="n">
        <v>10255</v>
      </c>
      <c r="B20" s="4" t="s">
        <v>132</v>
      </c>
      <c r="C20" s="4" t="s">
        <v>133</v>
      </c>
      <c r="D20" s="4" t="s">
        <v>129</v>
      </c>
      <c r="E20" s="4" t="s">
        <v>94</v>
      </c>
      <c r="F20" s="4" t="n">
        <v>2</v>
      </c>
      <c r="G20" s="4" t="s">
        <v>134</v>
      </c>
      <c r="H20" s="4" t="s">
        <v>47</v>
      </c>
      <c r="I20" s="4" t="s">
        <v>135</v>
      </c>
      <c r="J20" s="6" t="n">
        <f aca="false">IFERROR(DATEVALUE(B20),"")</f>
        <v>45569</v>
      </c>
      <c r="K20" s="4" t="str">
        <f aca="false">IF(A20="","",PROPER(TRIM(C20)))</f>
        <v>East</v>
      </c>
      <c r="L20" s="4" t="str">
        <f aca="false">IF(A20="","",PROPER(TRIM(D20)))</f>
        <v>Climbing Gear</v>
      </c>
      <c r="M20" s="4" t="n">
        <f aca="false">IFERROR(VALUE(F20),0)</f>
        <v>2</v>
      </c>
      <c r="N20" s="7" t="n">
        <f aca="false">IFERROR(VALUE(SUBSTITUTE(G20,"$","")),0)</f>
        <v>144.27</v>
      </c>
      <c r="O20" s="4" t="n">
        <f aca="false">IF(A20="",0,IF(COUNTIF($A$2:A20,A20)&gt;1,1,0))</f>
        <v>0</v>
      </c>
      <c r="P20" s="4" t="n">
        <f aca="false">IF(AND(A20&lt;&gt;"",J20&lt;&gt;"",M20&gt;0,N20&gt;0,O20=0),1,0)</f>
        <v>1</v>
      </c>
      <c r="Q20" s="7" t="n">
        <f aca="false">IF(P20=1,M20*N20,0)</f>
        <v>288.54</v>
      </c>
    </row>
    <row r="21" customFormat="false" ht="15" hidden="false" customHeight="false" outlineLevel="0" collapsed="false">
      <c r="A21" s="4" t="n">
        <v>10761</v>
      </c>
      <c r="B21" s="4" t="s">
        <v>136</v>
      </c>
      <c r="C21" s="4" t="s">
        <v>105</v>
      </c>
      <c r="D21" s="4" t="s">
        <v>58</v>
      </c>
      <c r="E21" s="4" t="s">
        <v>94</v>
      </c>
      <c r="F21" s="4" t="n">
        <v>1</v>
      </c>
      <c r="G21" s="4" t="s">
        <v>137</v>
      </c>
      <c r="H21" s="4" t="s">
        <v>47</v>
      </c>
      <c r="I21" s="4" t="s">
        <v>138</v>
      </c>
      <c r="J21" s="6" t="str">
        <f aca="false">IFERROR(DATEVALUE(B21),"")</f>
        <v/>
      </c>
      <c r="K21" s="4" t="str">
        <f aca="false">IF(A21="","",PROPER(TRIM(C21)))</f>
        <v>Midwest</v>
      </c>
      <c r="L21" s="4" t="str">
        <f aca="false">IF(A21="","",PROPER(TRIM(D21)))</f>
        <v>Climbing Gear</v>
      </c>
      <c r="M21" s="4" t="n">
        <f aca="false">IFERROR(VALUE(F21),0)</f>
        <v>1</v>
      </c>
      <c r="N21" s="7" t="n">
        <f aca="false">IFERROR(VALUE(SUBSTITUTE(G21,"$","")),0)</f>
        <v>155.46</v>
      </c>
      <c r="O21" s="4" t="n">
        <f aca="false">IF(A21="",0,IF(COUNTIF($A$2:A21,A21)&gt;1,1,0))</f>
        <v>0</v>
      </c>
      <c r="P21" s="4" t="n">
        <f aca="false">IF(AND(A21&lt;&gt;"",J21&lt;&gt;"",M21&gt;0,N21&gt;0,O21=0),1,0)</f>
        <v>0</v>
      </c>
      <c r="Q21" s="7" t="n">
        <f aca="false">IF(P21=1,M21*N21,0)</f>
        <v>0</v>
      </c>
    </row>
    <row r="22" customFormat="false" ht="15" hidden="false" customHeight="false" outlineLevel="0" collapsed="false">
      <c r="A22" s="4" t="n">
        <v>10372</v>
      </c>
      <c r="B22" s="4" t="s">
        <v>139</v>
      </c>
      <c r="C22" s="4" t="s">
        <v>140</v>
      </c>
      <c r="D22" s="4" t="s">
        <v>141</v>
      </c>
      <c r="E22" s="4" t="s">
        <v>142</v>
      </c>
      <c r="F22" s="4" t="n">
        <v>1</v>
      </c>
      <c r="G22" s="4" t="s">
        <v>143</v>
      </c>
      <c r="H22" s="4" t="s">
        <v>73</v>
      </c>
      <c r="I22" s="4" t="s">
        <v>144</v>
      </c>
      <c r="J22" s="6" t="n">
        <f aca="false">IFERROR(DATEVALUE(B22),"")</f>
        <v>45799</v>
      </c>
      <c r="K22" s="4" t="str">
        <f aca="false">IF(A22="","",PROPER(TRIM(C22)))</f>
        <v>South</v>
      </c>
      <c r="L22" s="4" t="str">
        <f aca="false">IF(A22="","",PROPER(TRIM(D22)))</f>
        <v>Apparel</v>
      </c>
      <c r="M22" s="4" t="n">
        <f aca="false">IFERROR(VALUE(F22),0)</f>
        <v>1</v>
      </c>
      <c r="N22" s="7" t="n">
        <f aca="false">IFERROR(VALUE(SUBSTITUTE(G22,"$","")),0)</f>
        <v>192.13</v>
      </c>
      <c r="O22" s="4" t="n">
        <f aca="false">IF(A22="",0,IF(COUNTIF($A$2:A22,A22)&gt;1,1,0))</f>
        <v>0</v>
      </c>
      <c r="P22" s="4" t="n">
        <f aca="false">IF(AND(A22&lt;&gt;"",J22&lt;&gt;"",M22&gt;0,N22&gt;0,O22=0),1,0)</f>
        <v>1</v>
      </c>
      <c r="Q22" s="7" t="n">
        <f aca="false">IF(P22=1,M22*N22,0)</f>
        <v>192.13</v>
      </c>
    </row>
    <row r="23" customFormat="false" ht="15" hidden="false" customHeight="false" outlineLevel="0" collapsed="false">
      <c r="A23" s="4" t="n">
        <v>10646</v>
      </c>
      <c r="B23" s="4" t="s">
        <v>145</v>
      </c>
      <c r="C23" s="4" t="s">
        <v>50</v>
      </c>
      <c r="D23" s="4" t="s">
        <v>58</v>
      </c>
      <c r="E23" s="4" t="s">
        <v>94</v>
      </c>
      <c r="F23" s="4" t="n">
        <v>3</v>
      </c>
      <c r="G23" s="4" t="s">
        <v>146</v>
      </c>
      <c r="H23" s="4" t="s">
        <v>73</v>
      </c>
      <c r="I23" s="4" t="s">
        <v>147</v>
      </c>
      <c r="J23" s="6" t="n">
        <f aca="false">IFERROR(DATEVALUE(B23),"")</f>
        <v>45702</v>
      </c>
      <c r="K23" s="4" t="str">
        <f aca="false">IF(A23="","",PROPER(TRIM(C23)))</f>
        <v>Midwest</v>
      </c>
      <c r="L23" s="4" t="str">
        <f aca="false">IF(A23="","",PROPER(TRIM(D23)))</f>
        <v>Climbing Gear</v>
      </c>
      <c r="M23" s="4" t="n">
        <f aca="false">IFERROR(VALUE(F23),0)</f>
        <v>3</v>
      </c>
      <c r="N23" s="7" t="n">
        <f aca="false">IFERROR(VALUE(SUBSTITUTE(G23,"$","")),0)</f>
        <v>178.19</v>
      </c>
      <c r="O23" s="4" t="n">
        <f aca="false">IF(A23="",0,IF(COUNTIF($A$2:A23,A23)&gt;1,1,0))</f>
        <v>0</v>
      </c>
      <c r="P23" s="4" t="n">
        <f aca="false">IF(AND(A23&lt;&gt;"",J23&lt;&gt;"",M23&gt;0,N23&gt;0,O23=0),1,0)</f>
        <v>1</v>
      </c>
      <c r="Q23" s="7" t="n">
        <f aca="false">IF(P23=1,M23*N23,0)</f>
        <v>534.57</v>
      </c>
    </row>
    <row r="24" customFormat="false" ht="15" hidden="false" customHeight="false" outlineLevel="0" collapsed="false">
      <c r="A24" s="4" t="n">
        <v>10297</v>
      </c>
      <c r="B24" s="4" t="s">
        <v>148</v>
      </c>
      <c r="C24" s="4" t="s">
        <v>149</v>
      </c>
      <c r="D24" s="4" t="s">
        <v>150</v>
      </c>
      <c r="E24" s="4" t="s">
        <v>151</v>
      </c>
      <c r="F24" s="4" t="n">
        <v>2</v>
      </c>
      <c r="G24" s="4" t="s">
        <v>152</v>
      </c>
      <c r="H24" s="4" t="s">
        <v>73</v>
      </c>
      <c r="I24" s="4" t="s">
        <v>153</v>
      </c>
      <c r="J24" s="6" t="n">
        <f aca="false">IFERROR(DATEVALUE(B24),"")</f>
        <v>45392</v>
      </c>
      <c r="K24" s="4" t="str">
        <f aca="false">IF(A24="","",PROPER(TRIM(C24)))</f>
        <v>East</v>
      </c>
      <c r="L24" s="4" t="str">
        <f aca="false">IF(A24="","",PROPER(TRIM(D24)))</f>
        <v>Footwear</v>
      </c>
      <c r="M24" s="4" t="n">
        <f aca="false">IFERROR(VALUE(F24),0)</f>
        <v>2</v>
      </c>
      <c r="N24" s="7" t="n">
        <f aca="false">IFERROR(VALUE(SUBSTITUTE(G24,"$","")),0)</f>
        <v>158.65</v>
      </c>
      <c r="O24" s="4" t="n">
        <f aca="false">IF(A24="",0,IF(COUNTIF($A$2:A24,A24)&gt;1,1,0))</f>
        <v>0</v>
      </c>
      <c r="P24" s="4" t="n">
        <f aca="false">IF(AND(A24&lt;&gt;"",J24&lt;&gt;"",M24&gt;0,N24&gt;0,O24=0),1,0)</f>
        <v>1</v>
      </c>
      <c r="Q24" s="7" t="n">
        <f aca="false">IF(P24=1,M24*N24,0)</f>
        <v>317.3</v>
      </c>
    </row>
    <row r="25" customFormat="false" ht="15" hidden="false" customHeight="false" outlineLevel="0" collapsed="false">
      <c r="A25" s="4" t="n">
        <v>10643</v>
      </c>
      <c r="B25" s="4" t="s">
        <v>154</v>
      </c>
      <c r="C25" s="4" t="s">
        <v>155</v>
      </c>
      <c r="D25" s="4" t="s">
        <v>156</v>
      </c>
      <c r="E25" s="4" t="s">
        <v>59</v>
      </c>
      <c r="F25" s="4" t="n">
        <v>1</v>
      </c>
      <c r="G25" s="4" t="s">
        <v>157</v>
      </c>
      <c r="H25" s="4" t="s">
        <v>47</v>
      </c>
      <c r="I25" s="4" t="s">
        <v>158</v>
      </c>
      <c r="J25" s="6" t="n">
        <f aca="false">IFERROR(DATEVALUE(B25),"")</f>
        <v>45437</v>
      </c>
      <c r="K25" s="4" t="str">
        <f aca="false">IF(A25="","",PROPER(TRIM(C25)))</f>
        <v>South</v>
      </c>
      <c r="L25" s="4" t="str">
        <f aca="false">IF(A25="","",PROPER(TRIM(D25)))</f>
        <v>Climbing Gear</v>
      </c>
      <c r="M25" s="4" t="n">
        <f aca="false">IFERROR(VALUE(F25),0)</f>
        <v>1</v>
      </c>
      <c r="N25" s="7" t="n">
        <f aca="false">IFERROR(VALUE(SUBSTITUTE(G25,"$","")),0)</f>
        <v>40.83</v>
      </c>
      <c r="O25" s="4" t="n">
        <f aca="false">IF(A25="",0,IF(COUNTIF($A$2:A25,A25)&gt;1,1,0))</f>
        <v>0</v>
      </c>
      <c r="P25" s="4" t="n">
        <f aca="false">IF(AND(A25&lt;&gt;"",J25&lt;&gt;"",M25&gt;0,N25&gt;0,O25=0),1,0)</f>
        <v>1</v>
      </c>
      <c r="Q25" s="7" t="n">
        <f aca="false">IF(P25=1,M25*N25,0)</f>
        <v>40.83</v>
      </c>
    </row>
    <row r="26" customFormat="false" ht="15" hidden="false" customHeight="false" outlineLevel="0" collapsed="false">
      <c r="A26" s="4" t="n">
        <v>10631</v>
      </c>
      <c r="B26" s="4" t="s">
        <v>159</v>
      </c>
      <c r="C26" s="4" t="s">
        <v>63</v>
      </c>
      <c r="D26" s="4" t="s">
        <v>101</v>
      </c>
      <c r="E26" s="4" t="s">
        <v>160</v>
      </c>
      <c r="F26" s="4" t="n">
        <v>1</v>
      </c>
      <c r="G26" s="4" t="s">
        <v>161</v>
      </c>
      <c r="H26" s="4" t="s">
        <v>47</v>
      </c>
      <c r="I26" s="4" t="s">
        <v>162</v>
      </c>
      <c r="J26" s="6" t="n">
        <f aca="false">IFERROR(DATEVALUE(B26),"")</f>
        <v>45638</v>
      </c>
      <c r="K26" s="4" t="str">
        <f aca="false">IF(A26="","",PROPER(TRIM(C26)))</f>
        <v>Midwest</v>
      </c>
      <c r="L26" s="4" t="str">
        <f aca="false">IF(A26="","",PROPER(TRIM(D26)))</f>
        <v>Accessories</v>
      </c>
      <c r="M26" s="4" t="n">
        <f aca="false">IFERROR(VALUE(F26),0)</f>
        <v>1</v>
      </c>
      <c r="N26" s="7" t="n">
        <f aca="false">IFERROR(VALUE(SUBSTITUTE(G26,"$","")),0)</f>
        <v>28.58</v>
      </c>
      <c r="O26" s="4" t="n">
        <f aca="false">IF(A26="",0,IF(COUNTIF($A$2:A26,A26)&gt;1,1,0))</f>
        <v>0</v>
      </c>
      <c r="P26" s="4" t="n">
        <f aca="false">IF(AND(A26&lt;&gt;"",J26&lt;&gt;"",M26&gt;0,N26&gt;0,O26=0),1,0)</f>
        <v>1</v>
      </c>
      <c r="Q26" s="7" t="n">
        <f aca="false">IF(P26=1,M26*N26,0)</f>
        <v>28.58</v>
      </c>
    </row>
    <row r="27" customFormat="false" ht="15" hidden="false" customHeight="false" outlineLevel="0" collapsed="false">
      <c r="A27" s="4" t="n">
        <v>10439</v>
      </c>
      <c r="B27" s="4" t="s">
        <v>163</v>
      </c>
      <c r="C27" s="4" t="s">
        <v>133</v>
      </c>
      <c r="D27" s="4" t="s">
        <v>164</v>
      </c>
      <c r="E27" s="4" t="s">
        <v>142</v>
      </c>
      <c r="F27" s="4" t="n">
        <v>3</v>
      </c>
      <c r="G27" s="4" t="s">
        <v>165</v>
      </c>
      <c r="H27" s="4" t="s">
        <v>73</v>
      </c>
      <c r="I27" s="4" t="s">
        <v>166</v>
      </c>
      <c r="J27" s="6" t="n">
        <f aca="false">IFERROR(DATEVALUE(B27),"")</f>
        <v>45416</v>
      </c>
      <c r="K27" s="4" t="str">
        <f aca="false">IF(A27="","",PROPER(TRIM(C27)))</f>
        <v>East</v>
      </c>
      <c r="L27" s="4" t="str">
        <f aca="false">IF(A27="","",PROPER(TRIM(D27)))</f>
        <v>Apparel</v>
      </c>
      <c r="M27" s="4" t="n">
        <f aca="false">IFERROR(VALUE(F27),0)</f>
        <v>3</v>
      </c>
      <c r="N27" s="7" t="n">
        <f aca="false">IFERROR(VALUE(SUBSTITUTE(G27,"$","")),0)</f>
        <v>192.28</v>
      </c>
      <c r="O27" s="4" t="n">
        <f aca="false">IF(A27="",0,IF(COUNTIF($A$2:A27,A27)&gt;1,1,0))</f>
        <v>0</v>
      </c>
      <c r="P27" s="4" t="n">
        <f aca="false">IF(AND(A27&lt;&gt;"",J27&lt;&gt;"",M27&gt;0,N27&gt;0,O27=0),1,0)</f>
        <v>1</v>
      </c>
      <c r="Q27" s="7" t="n">
        <f aca="false">IF(P27=1,M27*N27,0)</f>
        <v>576.84</v>
      </c>
    </row>
    <row r="28" customFormat="false" ht="15" hidden="false" customHeight="false" outlineLevel="0" collapsed="false">
      <c r="A28" s="4" t="n">
        <v>10004</v>
      </c>
      <c r="B28" s="4" t="s">
        <v>167</v>
      </c>
      <c r="C28" s="4" t="s">
        <v>69</v>
      </c>
      <c r="D28" s="4" t="s">
        <v>129</v>
      </c>
      <c r="E28" s="4" t="s">
        <v>59</v>
      </c>
      <c r="F28" s="4" t="n">
        <v>2</v>
      </c>
      <c r="G28" s="4" t="s">
        <v>168</v>
      </c>
      <c r="H28" s="4" t="s">
        <v>47</v>
      </c>
      <c r="I28" s="4" t="s">
        <v>169</v>
      </c>
      <c r="J28" s="6" t="n">
        <f aca="false">IFERROR(DATEVALUE(B28),"")</f>
        <v>45476</v>
      </c>
      <c r="K28" s="4" t="str">
        <f aca="false">IF(A28="","",PROPER(TRIM(C28)))</f>
        <v>East</v>
      </c>
      <c r="L28" s="4" t="str">
        <f aca="false">IF(A28="","",PROPER(TRIM(D28)))</f>
        <v>Climbing Gear</v>
      </c>
      <c r="M28" s="4" t="n">
        <f aca="false">IFERROR(VALUE(F28),0)</f>
        <v>2</v>
      </c>
      <c r="N28" s="7" t="n">
        <f aca="false">IFERROR(VALUE(SUBSTITUTE(G28,"$","")),0)</f>
        <v>38.99</v>
      </c>
      <c r="O28" s="4" t="n">
        <f aca="false">IF(A28="",0,IF(COUNTIF($A$2:A28,A28)&gt;1,1,0))</f>
        <v>0</v>
      </c>
      <c r="P28" s="4" t="n">
        <f aca="false">IF(AND(A28&lt;&gt;"",J28&lt;&gt;"",M28&gt;0,N28&gt;0,O28=0),1,0)</f>
        <v>1</v>
      </c>
      <c r="Q28" s="7" t="n">
        <f aca="false">IF(P28=1,M28*N28,0)</f>
        <v>77.98</v>
      </c>
    </row>
    <row r="29" customFormat="false" ht="15" hidden="false" customHeight="false" outlineLevel="0" collapsed="false">
      <c r="A29" s="4" t="n">
        <v>10009</v>
      </c>
      <c r="B29" s="4" t="s">
        <v>170</v>
      </c>
      <c r="C29" s="4" t="s">
        <v>50</v>
      </c>
      <c r="D29" s="4" t="s">
        <v>171</v>
      </c>
      <c r="E29" s="4" t="s">
        <v>71</v>
      </c>
      <c r="F29" s="4" t="n">
        <v>2</v>
      </c>
      <c r="G29" s="4" t="s">
        <v>172</v>
      </c>
      <c r="H29" s="4" t="s">
        <v>54</v>
      </c>
      <c r="I29" s="4" t="s">
        <v>173</v>
      </c>
      <c r="J29" s="6" t="n">
        <f aca="false">IFERROR(DATEVALUE(B29),"")</f>
        <v>45721</v>
      </c>
      <c r="K29" s="4" t="str">
        <f aca="false">IF(A29="","",PROPER(TRIM(C29)))</f>
        <v>Midwest</v>
      </c>
      <c r="L29" s="4" t="str">
        <f aca="false">IF(A29="","",PROPER(TRIM(D29)))</f>
        <v>Camping Gear</v>
      </c>
      <c r="M29" s="4" t="n">
        <f aca="false">IFERROR(VALUE(F29),0)</f>
        <v>2</v>
      </c>
      <c r="N29" s="7" t="n">
        <f aca="false">IFERROR(VALUE(SUBSTITUTE(G29,"$","")),0)</f>
        <v>58.56</v>
      </c>
      <c r="O29" s="4" t="n">
        <f aca="false">IF(A29="",0,IF(COUNTIF($A$2:A29,A29)&gt;1,1,0))</f>
        <v>0</v>
      </c>
      <c r="P29" s="4" t="n">
        <f aca="false">IF(AND(A29&lt;&gt;"",J29&lt;&gt;"",M29&gt;0,N29&gt;0,O29=0),1,0)</f>
        <v>1</v>
      </c>
      <c r="Q29" s="7" t="n">
        <f aca="false">IF(P29=1,M29*N29,0)</f>
        <v>117.12</v>
      </c>
    </row>
    <row r="30" customFormat="false" ht="15" hidden="false" customHeight="false" outlineLevel="0" collapsed="false">
      <c r="A30" s="4" t="n">
        <v>10603</v>
      </c>
      <c r="B30" s="4" t="s">
        <v>174</v>
      </c>
      <c r="C30" s="4" t="s">
        <v>80</v>
      </c>
      <c r="D30" s="4" t="s">
        <v>106</v>
      </c>
      <c r="E30" s="4" t="s">
        <v>151</v>
      </c>
      <c r="F30" s="4" t="n">
        <v>1</v>
      </c>
      <c r="G30" s="4" t="s">
        <v>175</v>
      </c>
      <c r="H30" s="4" t="s">
        <v>73</v>
      </c>
      <c r="I30" s="4" t="s">
        <v>176</v>
      </c>
      <c r="J30" s="6" t="n">
        <f aca="false">IFERROR(DATEVALUE(B30),"")</f>
        <v>45557</v>
      </c>
      <c r="K30" s="4" t="str">
        <f aca="false">IF(A30="","",PROPER(TRIM(C30)))</f>
        <v>South</v>
      </c>
      <c r="L30" s="4" t="str">
        <f aca="false">IF(A30="","",PROPER(TRIM(D30)))</f>
        <v>Footwear</v>
      </c>
      <c r="M30" s="4" t="n">
        <f aca="false">IFERROR(VALUE(F30),0)</f>
        <v>1</v>
      </c>
      <c r="N30" s="7" t="n">
        <f aca="false">IFERROR(VALUE(SUBSTITUTE(G30,"$","")),0)</f>
        <v>139.47</v>
      </c>
      <c r="O30" s="4" t="n">
        <f aca="false">IF(A30="",0,IF(COUNTIF($A$2:A30,A30)&gt;1,1,0))</f>
        <v>0</v>
      </c>
      <c r="P30" s="4" t="n">
        <f aca="false">IF(AND(A30&lt;&gt;"",J30&lt;&gt;"",M30&gt;0,N30&gt;0,O30=0),1,0)</f>
        <v>1</v>
      </c>
      <c r="Q30" s="7" t="n">
        <f aca="false">IF(P30=1,M30*N30,0)</f>
        <v>139.47</v>
      </c>
    </row>
    <row r="31" customFormat="false" ht="15" hidden="false" customHeight="false" outlineLevel="0" collapsed="false">
      <c r="A31" s="4" t="n">
        <v>10444</v>
      </c>
      <c r="B31" s="4" t="s">
        <v>177</v>
      </c>
      <c r="C31" s="4" t="s">
        <v>178</v>
      </c>
      <c r="D31" s="4" t="s">
        <v>179</v>
      </c>
      <c r="E31" s="4" t="s">
        <v>125</v>
      </c>
      <c r="F31" s="4" t="n">
        <v>1</v>
      </c>
      <c r="G31" s="4" t="s">
        <v>180</v>
      </c>
      <c r="H31" s="4" t="s">
        <v>54</v>
      </c>
      <c r="I31" s="4" t="s">
        <v>181</v>
      </c>
      <c r="J31" s="6" t="n">
        <f aca="false">IFERROR(DATEVALUE(B31),"")</f>
        <v>45378</v>
      </c>
      <c r="K31" s="4" t="str">
        <f aca="false">IF(A31="","",PROPER(TRIM(C31)))</f>
        <v>South</v>
      </c>
      <c r="L31" s="4" t="str">
        <f aca="false">IF(A31="","",PROPER(TRIM(D31)))</f>
        <v>Climbing Gear</v>
      </c>
      <c r="M31" s="4" t="n">
        <f aca="false">IFERROR(VALUE(F31),0)</f>
        <v>1</v>
      </c>
      <c r="N31" s="7" t="n">
        <f aca="false">IFERROR(VALUE(SUBSTITUTE(G31,"$","")),0)</f>
        <v>98.72</v>
      </c>
      <c r="O31" s="4" t="n">
        <f aca="false">IF(A31="",0,IF(COUNTIF($A$2:A31,A31)&gt;1,1,0))</f>
        <v>0</v>
      </c>
      <c r="P31" s="4" t="n">
        <f aca="false">IF(AND(A31&lt;&gt;"",J31&lt;&gt;"",M31&gt;0,N31&gt;0,O31=0),1,0)</f>
        <v>1</v>
      </c>
      <c r="Q31" s="7" t="n">
        <f aca="false">IF(P31=1,M31*N31,0)</f>
        <v>98.72</v>
      </c>
    </row>
    <row r="32" customFormat="false" ht="15" hidden="false" customHeight="false" outlineLevel="0" collapsed="false">
      <c r="A32" s="4" t="n">
        <v>10598</v>
      </c>
      <c r="B32" s="4" t="s">
        <v>182</v>
      </c>
      <c r="C32" s="4" t="s">
        <v>183</v>
      </c>
      <c r="D32" s="4" t="s">
        <v>64</v>
      </c>
      <c r="E32" s="4" t="s">
        <v>111</v>
      </c>
      <c r="F32" s="4" t="n">
        <v>5</v>
      </c>
      <c r="G32" s="4" t="s">
        <v>184</v>
      </c>
      <c r="H32" s="4" t="s">
        <v>54</v>
      </c>
      <c r="I32" s="4" t="s">
        <v>185</v>
      </c>
      <c r="J32" s="6" t="n">
        <f aca="false">IFERROR(DATEVALUE(B32),"")</f>
        <v>45660</v>
      </c>
      <c r="K32" s="4" t="str">
        <f aca="false">IF(A32="","",PROPER(TRIM(C32)))</f>
        <v>West</v>
      </c>
      <c r="L32" s="4" t="str">
        <f aca="false">IF(A32="","",PROPER(TRIM(D32)))</f>
        <v>Footwear</v>
      </c>
      <c r="M32" s="4" t="n">
        <f aca="false">IFERROR(VALUE(F32),0)</f>
        <v>5</v>
      </c>
      <c r="N32" s="7" t="n">
        <f aca="false">IFERROR(VALUE(SUBSTITUTE(G32,"$","")),0)</f>
        <v>83.82</v>
      </c>
      <c r="O32" s="4" t="n">
        <f aca="false">IF(A32="",0,IF(COUNTIF($A$2:A32,A32)&gt;1,1,0))</f>
        <v>0</v>
      </c>
      <c r="P32" s="4" t="n">
        <f aca="false">IF(AND(A32&lt;&gt;"",J32&lt;&gt;"",M32&gt;0,N32&gt;0,O32=0),1,0)</f>
        <v>1</v>
      </c>
      <c r="Q32" s="7" t="n">
        <f aca="false">IF(P32=1,M32*N32,0)</f>
        <v>419.1</v>
      </c>
    </row>
    <row r="33" customFormat="false" ht="15" hidden="false" customHeight="false" outlineLevel="0" collapsed="false">
      <c r="A33" s="4" t="n">
        <v>10521</v>
      </c>
      <c r="B33" s="4" t="s">
        <v>186</v>
      </c>
      <c r="C33" s="4" t="s">
        <v>187</v>
      </c>
      <c r="D33" s="4" t="s">
        <v>129</v>
      </c>
      <c r="E33" s="4" t="s">
        <v>188</v>
      </c>
      <c r="F33" s="4" t="n">
        <v>4</v>
      </c>
      <c r="G33" s="4" t="s">
        <v>189</v>
      </c>
      <c r="H33" s="4" t="s">
        <v>47</v>
      </c>
      <c r="I33" s="4" t="s">
        <v>190</v>
      </c>
      <c r="J33" s="6" t="n">
        <f aca="false">IFERROR(DATEVALUE(B33),"")</f>
        <v>45787</v>
      </c>
      <c r="K33" s="4" t="str">
        <f aca="false">IF(A33="","",PROPER(TRIM(C33)))</f>
        <v>East</v>
      </c>
      <c r="L33" s="4" t="str">
        <f aca="false">IF(A33="","",PROPER(TRIM(D33)))</f>
        <v>Climbing Gear</v>
      </c>
      <c r="M33" s="4" t="n">
        <f aca="false">IFERROR(VALUE(F33),0)</f>
        <v>4</v>
      </c>
      <c r="N33" s="7" t="n">
        <f aca="false">IFERROR(VALUE(SUBSTITUTE(G33,"$","")),0)</f>
        <v>21.27</v>
      </c>
      <c r="O33" s="4" t="n">
        <f aca="false">IF(A33="",0,IF(COUNTIF($A$2:A33,A33)&gt;1,1,0))</f>
        <v>0</v>
      </c>
      <c r="P33" s="4" t="n">
        <f aca="false">IF(AND(A33&lt;&gt;"",J33&lt;&gt;"",M33&gt;0,N33&gt;0,O33=0),1,0)</f>
        <v>1</v>
      </c>
      <c r="Q33" s="7" t="n">
        <f aca="false">IF(P33=1,M33*N33,0)</f>
        <v>85.08</v>
      </c>
    </row>
    <row r="34" customFormat="false" ht="15" hidden="false" customHeight="false" outlineLevel="0" collapsed="false">
      <c r="A34" s="4" t="n">
        <v>10279</v>
      </c>
      <c r="B34" s="4" t="s">
        <v>191</v>
      </c>
      <c r="C34" s="4" t="s">
        <v>93</v>
      </c>
      <c r="D34" s="4" t="s">
        <v>58</v>
      </c>
      <c r="E34" s="4" t="s">
        <v>125</v>
      </c>
      <c r="F34" s="4" t="n">
        <v>2</v>
      </c>
      <c r="G34" s="4" t="s">
        <v>192</v>
      </c>
      <c r="H34" s="4" t="s">
        <v>54</v>
      </c>
      <c r="I34" s="4" t="s">
        <v>193</v>
      </c>
      <c r="J34" s="6" t="n">
        <f aca="false">IFERROR(DATEVALUE(B34),"")</f>
        <v>45322</v>
      </c>
      <c r="K34" s="4" t="str">
        <f aca="false">IF(A34="","",PROPER(TRIM(C34)))</f>
        <v>West</v>
      </c>
      <c r="L34" s="4" t="str">
        <f aca="false">IF(A34="","",PROPER(TRIM(D34)))</f>
        <v>Climbing Gear</v>
      </c>
      <c r="M34" s="4" t="n">
        <f aca="false">IFERROR(VALUE(F34),0)</f>
        <v>2</v>
      </c>
      <c r="N34" s="7" t="n">
        <f aca="false">IFERROR(VALUE(SUBSTITUTE(G34,"$","")),0)</f>
        <v>87.2</v>
      </c>
      <c r="O34" s="4" t="n">
        <f aca="false">IF(A34="",0,IF(COUNTIF($A$2:A34,A34)&gt;1,1,0))</f>
        <v>0</v>
      </c>
      <c r="P34" s="4" t="n">
        <f aca="false">IF(AND(A34&lt;&gt;"",J34&lt;&gt;"",M34&gt;0,N34&gt;0,O34=0),1,0)</f>
        <v>1</v>
      </c>
      <c r="Q34" s="7" t="n">
        <f aca="false">IF(P34=1,M34*N34,0)</f>
        <v>174.4</v>
      </c>
    </row>
    <row r="35" customFormat="false" ht="15" hidden="false" customHeight="false" outlineLevel="0" collapsed="false">
      <c r="A35" s="4" t="n">
        <v>10576</v>
      </c>
      <c r="B35" s="4" t="s">
        <v>194</v>
      </c>
      <c r="C35" s="4" t="s">
        <v>69</v>
      </c>
      <c r="D35" s="4" t="s">
        <v>51</v>
      </c>
      <c r="E35" s="4" t="s">
        <v>52</v>
      </c>
      <c r="F35" s="4" t="n">
        <v>2</v>
      </c>
      <c r="G35" s="4" t="s">
        <v>195</v>
      </c>
      <c r="H35" s="4" t="s">
        <v>73</v>
      </c>
      <c r="I35" s="4" t="s">
        <v>196</v>
      </c>
      <c r="J35" s="6" t="n">
        <f aca="false">IFERROR(DATEVALUE(B35),"")</f>
        <v>45305</v>
      </c>
      <c r="K35" s="4" t="str">
        <f aca="false">IF(A35="","",PROPER(TRIM(C35)))</f>
        <v>East</v>
      </c>
      <c r="L35" s="4" t="str">
        <f aca="false">IF(A35="","",PROPER(TRIM(D35)))</f>
        <v>Accessories</v>
      </c>
      <c r="M35" s="4" t="n">
        <f aca="false">IFERROR(VALUE(F35),0)</f>
        <v>2</v>
      </c>
      <c r="N35" s="7" t="n">
        <f aca="false">IFERROR(VALUE(SUBSTITUTE(G35,"$","")),0)</f>
        <v>77.17</v>
      </c>
      <c r="O35" s="4" t="n">
        <f aca="false">IF(A35="",0,IF(COUNTIF($A$2:A35,A35)&gt;1,1,0))</f>
        <v>0</v>
      </c>
      <c r="P35" s="4" t="n">
        <f aca="false">IF(AND(A35&lt;&gt;"",J35&lt;&gt;"",M35&gt;0,N35&gt;0,O35=0),1,0)</f>
        <v>1</v>
      </c>
      <c r="Q35" s="7" t="n">
        <f aca="false">IF(P35=1,M35*N35,0)</f>
        <v>154.34</v>
      </c>
    </row>
    <row r="36" customFormat="false" ht="15" hidden="false" customHeight="false" outlineLevel="0" collapsed="false">
      <c r="A36" s="4" t="n">
        <v>10188</v>
      </c>
      <c r="B36" s="4" t="s">
        <v>97</v>
      </c>
      <c r="C36" s="4" t="s">
        <v>120</v>
      </c>
      <c r="D36" s="4" t="s">
        <v>101</v>
      </c>
      <c r="E36" s="4" t="s">
        <v>45</v>
      </c>
      <c r="F36" s="4" t="n">
        <v>3</v>
      </c>
      <c r="G36" s="4"/>
      <c r="H36" s="4" t="s">
        <v>73</v>
      </c>
      <c r="I36" s="4" t="s">
        <v>197</v>
      </c>
      <c r="J36" s="6" t="n">
        <f aca="false">IFERROR(DATEVALUE(B36),"")</f>
        <v>45655</v>
      </c>
      <c r="K36" s="4" t="str">
        <f aca="false">IF(A36="","",PROPER(TRIM(C36)))</f>
        <v>East</v>
      </c>
      <c r="L36" s="4" t="str">
        <f aca="false">IF(A36="","",PROPER(TRIM(D36)))</f>
        <v>Accessories</v>
      </c>
      <c r="M36" s="4" t="n">
        <f aca="false">IFERROR(VALUE(F36),0)</f>
        <v>3</v>
      </c>
      <c r="N36" s="7" t="n">
        <f aca="false">IFERROR(VALUE(SUBSTITUTE(G36,"$","")),0)</f>
        <v>0</v>
      </c>
      <c r="O36" s="4" t="n">
        <f aca="false">IF(A36="",0,IF(COUNTIF($A$2:A36,A36)&gt;1,1,0))</f>
        <v>0</v>
      </c>
      <c r="P36" s="4" t="n">
        <f aca="false">IF(AND(A36&lt;&gt;"",J36&lt;&gt;"",M36&gt;0,N36&gt;0,O36=0),1,0)</f>
        <v>0</v>
      </c>
      <c r="Q36" s="7" t="n">
        <f aca="false">IF(P36=1,M36*N36,0)</f>
        <v>0</v>
      </c>
    </row>
    <row r="37" customFormat="false" ht="15" hidden="false" customHeight="false" outlineLevel="0" collapsed="false">
      <c r="A37" s="4" t="n">
        <v>10537</v>
      </c>
      <c r="B37" s="4" t="s">
        <v>198</v>
      </c>
      <c r="C37" s="4" t="s">
        <v>183</v>
      </c>
      <c r="D37" s="4" t="s">
        <v>156</v>
      </c>
      <c r="E37" s="4" t="s">
        <v>125</v>
      </c>
      <c r="F37" s="4" t="n">
        <v>3</v>
      </c>
      <c r="G37" s="4" t="s">
        <v>199</v>
      </c>
      <c r="H37" s="4" t="s">
        <v>47</v>
      </c>
      <c r="I37" s="4" t="s">
        <v>200</v>
      </c>
      <c r="J37" s="6" t="n">
        <f aca="false">IFERROR(DATEVALUE(B37),"")</f>
        <v>45786</v>
      </c>
      <c r="K37" s="4" t="str">
        <f aca="false">IF(A37="","",PROPER(TRIM(C37)))</f>
        <v>West</v>
      </c>
      <c r="L37" s="4" t="str">
        <f aca="false">IF(A37="","",PROPER(TRIM(D37)))</f>
        <v>Climbing Gear</v>
      </c>
      <c r="M37" s="4" t="n">
        <f aca="false">IFERROR(VALUE(F37),0)</f>
        <v>3</v>
      </c>
      <c r="N37" s="7" t="n">
        <f aca="false">IFERROR(VALUE(SUBSTITUTE(G37,"$","")),0)</f>
        <v>103.83</v>
      </c>
      <c r="O37" s="4" t="n">
        <f aca="false">IF(A37="",0,IF(COUNTIF($A$2:A37,A37)&gt;1,1,0))</f>
        <v>0</v>
      </c>
      <c r="P37" s="4" t="n">
        <f aca="false">IF(AND(A37&lt;&gt;"",J37&lt;&gt;"",M37&gt;0,N37&gt;0,O37=0),1,0)</f>
        <v>1</v>
      </c>
      <c r="Q37" s="7" t="n">
        <f aca="false">IF(P37=1,M37*N37,0)</f>
        <v>311.49</v>
      </c>
    </row>
    <row r="38" customFormat="false" ht="15" hidden="false" customHeight="false" outlineLevel="0" collapsed="false">
      <c r="A38" s="4" t="n">
        <v>10553</v>
      </c>
      <c r="B38" s="4" t="s">
        <v>201</v>
      </c>
      <c r="C38" s="4" t="s">
        <v>178</v>
      </c>
      <c r="D38" s="4" t="s">
        <v>202</v>
      </c>
      <c r="E38" s="4" t="s">
        <v>203</v>
      </c>
      <c r="F38" s="4" t="n">
        <v>1</v>
      </c>
      <c r="G38" s="4" t="s">
        <v>204</v>
      </c>
      <c r="H38" s="4" t="s">
        <v>54</v>
      </c>
      <c r="I38" s="4" t="s">
        <v>205</v>
      </c>
      <c r="J38" s="6" t="n">
        <f aca="false">IFERROR(DATEVALUE(B38),"")</f>
        <v>45730</v>
      </c>
      <c r="K38" s="4" t="str">
        <f aca="false">IF(A38="","",PROPER(TRIM(C38)))</f>
        <v>South</v>
      </c>
      <c r="L38" s="4" t="str">
        <f aca="false">IF(A38="","",PROPER(TRIM(D38)))</f>
        <v>Camping Gear</v>
      </c>
      <c r="M38" s="4" t="n">
        <f aca="false">IFERROR(VALUE(F38),0)</f>
        <v>1</v>
      </c>
      <c r="N38" s="7" t="n">
        <f aca="false">IFERROR(VALUE(SUBSTITUTE(G38,"$","")),0)</f>
        <v>252.95</v>
      </c>
      <c r="O38" s="4" t="n">
        <f aca="false">IF(A38="",0,IF(COUNTIF($A$2:A38,A38)&gt;1,1,0))</f>
        <v>0</v>
      </c>
      <c r="P38" s="4" t="n">
        <f aca="false">IF(AND(A38&lt;&gt;"",J38&lt;&gt;"",M38&gt;0,N38&gt;0,O38=0),1,0)</f>
        <v>1</v>
      </c>
      <c r="Q38" s="7" t="n">
        <f aca="false">IF(P38=1,M38*N38,0)</f>
        <v>252.95</v>
      </c>
    </row>
    <row r="39" customFormat="false" ht="15" hidden="false" customHeight="false" outlineLevel="0" collapsed="false">
      <c r="A39" s="4" t="n">
        <v>10405</v>
      </c>
      <c r="B39" s="4" t="s">
        <v>206</v>
      </c>
      <c r="C39" s="4" t="s">
        <v>93</v>
      </c>
      <c r="D39" s="4" t="s">
        <v>129</v>
      </c>
      <c r="E39" s="4" t="s">
        <v>188</v>
      </c>
      <c r="F39" s="4" t="n">
        <v>4</v>
      </c>
      <c r="G39" s="4" t="s">
        <v>207</v>
      </c>
      <c r="H39" s="4" t="s">
        <v>54</v>
      </c>
      <c r="I39" s="4" t="s">
        <v>208</v>
      </c>
      <c r="J39" s="6" t="str">
        <f aca="false">IFERROR(DATEVALUE(B39),"")</f>
        <v/>
      </c>
      <c r="K39" s="4" t="str">
        <f aca="false">IF(A39="","",PROPER(TRIM(C39)))</f>
        <v>West</v>
      </c>
      <c r="L39" s="4" t="str">
        <f aca="false">IF(A39="","",PROPER(TRIM(D39)))</f>
        <v>Climbing Gear</v>
      </c>
      <c r="M39" s="4" t="n">
        <f aca="false">IFERROR(VALUE(F39),0)</f>
        <v>4</v>
      </c>
      <c r="N39" s="7" t="n">
        <f aca="false">IFERROR(VALUE(SUBSTITUTE(G39,"$","")),0)</f>
        <v>19.11</v>
      </c>
      <c r="O39" s="4" t="n">
        <f aca="false">IF(A39="",0,IF(COUNTIF($A$2:A39,A39)&gt;1,1,0))</f>
        <v>0</v>
      </c>
      <c r="P39" s="4" t="n">
        <f aca="false">IF(AND(A39&lt;&gt;"",J39&lt;&gt;"",M39&gt;0,N39&gt;0,O39=0),1,0)</f>
        <v>0</v>
      </c>
      <c r="Q39" s="7" t="n">
        <f aca="false">IF(P39=1,M39*N39,0)</f>
        <v>0</v>
      </c>
    </row>
    <row r="40" customFormat="false" ht="15" hidden="false" customHeight="false" outlineLevel="0" collapsed="false">
      <c r="A40" s="4" t="n">
        <v>10078</v>
      </c>
      <c r="B40" s="4" t="s">
        <v>209</v>
      </c>
      <c r="C40" s="4" t="s">
        <v>69</v>
      </c>
      <c r="D40" s="4" t="s">
        <v>51</v>
      </c>
      <c r="E40" s="4" t="s">
        <v>210</v>
      </c>
      <c r="F40" s="4" t="n">
        <v>1</v>
      </c>
      <c r="G40" s="4" t="s">
        <v>211</v>
      </c>
      <c r="H40" s="4" t="s">
        <v>47</v>
      </c>
      <c r="I40" s="4" t="s">
        <v>212</v>
      </c>
      <c r="J40" s="6" t="n">
        <f aca="false">IFERROR(DATEVALUE(B40),"")</f>
        <v>45326</v>
      </c>
      <c r="K40" s="4" t="str">
        <f aca="false">IF(A40="","",PROPER(TRIM(C40)))</f>
        <v>East</v>
      </c>
      <c r="L40" s="4" t="str">
        <f aca="false">IF(A40="","",PROPER(TRIM(D40)))</f>
        <v>Accessories</v>
      </c>
      <c r="M40" s="4" t="n">
        <f aca="false">IFERROR(VALUE(F40),0)</f>
        <v>1</v>
      </c>
      <c r="N40" s="7" t="n">
        <f aca="false">IFERROR(VALUE(SUBSTITUTE(G40,"$","")),0)</f>
        <v>37.9</v>
      </c>
      <c r="O40" s="4" t="n">
        <f aca="false">IF(A40="",0,IF(COUNTIF($A$2:A40,A40)&gt;1,1,0))</f>
        <v>0</v>
      </c>
      <c r="P40" s="4" t="n">
        <f aca="false">IF(AND(A40&lt;&gt;"",J40&lt;&gt;"",M40&gt;0,N40&gt;0,O40=0),1,0)</f>
        <v>1</v>
      </c>
      <c r="Q40" s="7" t="n">
        <f aca="false">IF(P40=1,M40*N40,0)</f>
        <v>37.9</v>
      </c>
    </row>
    <row r="41" customFormat="false" ht="15" hidden="false" customHeight="false" outlineLevel="0" collapsed="false">
      <c r="A41" s="4" t="n">
        <v>10096</v>
      </c>
      <c r="B41" s="4" t="s">
        <v>213</v>
      </c>
      <c r="C41" s="4" t="s">
        <v>155</v>
      </c>
      <c r="D41" s="4" t="s">
        <v>81</v>
      </c>
      <c r="E41" s="4" t="s">
        <v>65</v>
      </c>
      <c r="F41" s="4" t="n">
        <v>1</v>
      </c>
      <c r="G41" s="4" t="s">
        <v>214</v>
      </c>
      <c r="H41" s="4" t="s">
        <v>47</v>
      </c>
      <c r="I41" s="4" t="s">
        <v>215</v>
      </c>
      <c r="J41" s="6" t="n">
        <f aca="false">IFERROR(DATEVALUE(B41),"")</f>
        <v>45689</v>
      </c>
      <c r="K41" s="4" t="str">
        <f aca="false">IF(A41="","",PROPER(TRIM(C41)))</f>
        <v>South</v>
      </c>
      <c r="L41" s="4" t="str">
        <f aca="false">IF(A41="","",PROPER(TRIM(D41)))</f>
        <v>Footwear</v>
      </c>
      <c r="M41" s="4" t="n">
        <f aca="false">IFERROR(VALUE(F41),0)</f>
        <v>1</v>
      </c>
      <c r="N41" s="7" t="n">
        <f aca="false">IFERROR(VALUE(SUBSTITUTE(G41,"$","")),0)</f>
        <v>52.33</v>
      </c>
      <c r="O41" s="4" t="n">
        <f aca="false">IF(A41="",0,IF(COUNTIF($A$2:A41,A41)&gt;1,1,0))</f>
        <v>0</v>
      </c>
      <c r="P41" s="4" t="n">
        <f aca="false">IF(AND(A41&lt;&gt;"",J41&lt;&gt;"",M41&gt;0,N41&gt;0,O41=0),1,0)</f>
        <v>1</v>
      </c>
      <c r="Q41" s="7" t="n">
        <f aca="false">IF(P41=1,M41*N41,0)</f>
        <v>52.33</v>
      </c>
    </row>
    <row r="42" customFormat="false" ht="15" hidden="false" customHeight="false" outlineLevel="0" collapsed="false">
      <c r="A42" s="4" t="n">
        <v>10017</v>
      </c>
      <c r="B42" s="4" t="s">
        <v>216</v>
      </c>
      <c r="C42" s="4" t="s">
        <v>69</v>
      </c>
      <c r="D42" s="4" t="s">
        <v>217</v>
      </c>
      <c r="E42" s="4" t="s">
        <v>89</v>
      </c>
      <c r="F42" s="4" t="n">
        <v>3</v>
      </c>
      <c r="G42" s="4" t="s">
        <v>218</v>
      </c>
      <c r="H42" s="4" t="s">
        <v>54</v>
      </c>
      <c r="I42" s="4" t="s">
        <v>219</v>
      </c>
      <c r="J42" s="6" t="str">
        <f aca="false">IFERROR(DATEVALUE(B42),"")</f>
        <v/>
      </c>
      <c r="K42" s="4" t="str">
        <f aca="false">IF(A42="","",PROPER(TRIM(C42)))</f>
        <v>East</v>
      </c>
      <c r="L42" s="4" t="str">
        <f aca="false">IF(A42="","",PROPER(TRIM(D42)))</f>
        <v>Apparel</v>
      </c>
      <c r="M42" s="4" t="n">
        <f aca="false">IFERROR(VALUE(F42),0)</f>
        <v>3</v>
      </c>
      <c r="N42" s="7" t="n">
        <f aca="false">IFERROR(VALUE(SUBSTITUTE(G42,"$","")),0)</f>
        <v>54.4</v>
      </c>
      <c r="O42" s="4" t="n">
        <f aca="false">IF(A42="",0,IF(COUNTIF($A$2:A42,A42)&gt;1,1,0))</f>
        <v>0</v>
      </c>
      <c r="P42" s="4" t="n">
        <f aca="false">IF(AND(A42&lt;&gt;"",J42&lt;&gt;"",M42&gt;0,N42&gt;0,O42=0),1,0)</f>
        <v>0</v>
      </c>
      <c r="Q42" s="7" t="n">
        <f aca="false">IF(P42=1,M42*N42,0)</f>
        <v>0</v>
      </c>
    </row>
    <row r="43" customFormat="false" ht="15" hidden="false" customHeight="false" outlineLevel="0" collapsed="false">
      <c r="A43" s="4" t="n">
        <v>10589</v>
      </c>
      <c r="B43" s="4" t="s">
        <v>220</v>
      </c>
      <c r="C43" s="4" t="s">
        <v>155</v>
      </c>
      <c r="D43" s="4" t="s">
        <v>76</v>
      </c>
      <c r="E43" s="4" t="s">
        <v>151</v>
      </c>
      <c r="F43" s="4" t="n">
        <v>1</v>
      </c>
      <c r="G43" s="4" t="s">
        <v>221</v>
      </c>
      <c r="H43" s="4" t="s">
        <v>47</v>
      </c>
      <c r="I43" s="4" t="s">
        <v>222</v>
      </c>
      <c r="J43" s="6" t="n">
        <f aca="false">IFERROR(DATEVALUE(B43),"")</f>
        <v>45588</v>
      </c>
      <c r="K43" s="4" t="str">
        <f aca="false">IF(A43="","",PROPER(TRIM(C43)))</f>
        <v>South</v>
      </c>
      <c r="L43" s="4" t="str">
        <f aca="false">IF(A43="","",PROPER(TRIM(D43)))</f>
        <v>Footwear</v>
      </c>
      <c r="M43" s="4" t="n">
        <f aca="false">IFERROR(VALUE(F43),0)</f>
        <v>1</v>
      </c>
      <c r="N43" s="7" t="n">
        <f aca="false">IFERROR(VALUE(SUBSTITUTE(G43,"$","")),0)</f>
        <v>152.62</v>
      </c>
      <c r="O43" s="4" t="n">
        <f aca="false">IF(A43="",0,IF(COUNTIF($A$2:A43,A43)&gt;1,1,0))</f>
        <v>0</v>
      </c>
      <c r="P43" s="4" t="n">
        <f aca="false">IF(AND(A43&lt;&gt;"",J43&lt;&gt;"",M43&gt;0,N43&gt;0,O43=0),1,0)</f>
        <v>1</v>
      </c>
      <c r="Q43" s="7" t="n">
        <f aca="false">IF(P43=1,M43*N43,0)</f>
        <v>152.62</v>
      </c>
    </row>
    <row r="44" customFormat="false" ht="15" hidden="false" customHeight="false" outlineLevel="0" collapsed="false">
      <c r="A44" s="4" t="n">
        <v>10172</v>
      </c>
      <c r="B44" s="4" t="s">
        <v>223</v>
      </c>
      <c r="C44" s="4" t="s">
        <v>224</v>
      </c>
      <c r="D44" s="4" t="s">
        <v>225</v>
      </c>
      <c r="E44" s="4" t="s">
        <v>210</v>
      </c>
      <c r="F44" s="4" t="n">
        <v>1</v>
      </c>
      <c r="G44" s="4" t="s">
        <v>226</v>
      </c>
      <c r="H44" s="4" t="s">
        <v>54</v>
      </c>
      <c r="I44" s="4" t="s">
        <v>227</v>
      </c>
      <c r="J44" s="6" t="n">
        <f aca="false">IFERROR(DATEVALUE(B44),"")</f>
        <v>45459</v>
      </c>
      <c r="K44" s="4" t="str">
        <f aca="false">IF(A44="","",PROPER(TRIM(C44)))</f>
        <v>East</v>
      </c>
      <c r="L44" s="4" t="str">
        <f aca="false">IF(A44="","",PROPER(TRIM(D44)))</f>
        <v>Accessories</v>
      </c>
      <c r="M44" s="4" t="n">
        <f aca="false">IFERROR(VALUE(F44),0)</f>
        <v>1</v>
      </c>
      <c r="N44" s="7" t="n">
        <f aca="false">IFERROR(VALUE(SUBSTITUTE(G44,"$","")),0)</f>
        <v>33.02</v>
      </c>
      <c r="O44" s="4" t="n">
        <f aca="false">IF(A44="",0,IF(COUNTIF($A$2:A44,A44)&gt;1,1,0))</f>
        <v>0</v>
      </c>
      <c r="P44" s="4" t="n">
        <f aca="false">IF(AND(A44&lt;&gt;"",J44&lt;&gt;"",M44&gt;0,N44&gt;0,O44=0),1,0)</f>
        <v>1</v>
      </c>
      <c r="Q44" s="7" t="n">
        <f aca="false">IF(P44=1,M44*N44,0)</f>
        <v>33.02</v>
      </c>
    </row>
    <row r="45" customFormat="false" ht="15" hidden="false" customHeight="false" outlineLevel="0" collapsed="false">
      <c r="A45" s="4" t="n">
        <v>10448</v>
      </c>
      <c r="B45" s="4" t="s">
        <v>228</v>
      </c>
      <c r="C45" s="4" t="s">
        <v>229</v>
      </c>
      <c r="D45" s="4" t="s">
        <v>230</v>
      </c>
      <c r="E45" s="4" t="s">
        <v>116</v>
      </c>
      <c r="F45" s="4" t="n">
        <v>3</v>
      </c>
      <c r="G45" s="4" t="s">
        <v>231</v>
      </c>
      <c r="H45" s="4" t="s">
        <v>73</v>
      </c>
      <c r="I45" s="4" t="s">
        <v>232</v>
      </c>
      <c r="J45" s="6" t="n">
        <f aca="false">IFERROR(DATEVALUE(B45),"")</f>
        <v>45686</v>
      </c>
      <c r="K45" s="4" t="str">
        <f aca="false">IF(A45="","",PROPER(TRIM(C45)))</f>
        <v>Midwest</v>
      </c>
      <c r="L45" s="4" t="str">
        <f aca="false">IF(A45="","",PROPER(TRIM(D45)))</f>
        <v>Apparel</v>
      </c>
      <c r="M45" s="4" t="n">
        <f aca="false">IFERROR(VALUE(F45),0)</f>
        <v>3</v>
      </c>
      <c r="N45" s="7" t="n">
        <f aca="false">IFERROR(VALUE(SUBSTITUTE(G45,"$","")),0)</f>
        <v>68.76</v>
      </c>
      <c r="O45" s="4" t="n">
        <f aca="false">IF(A45="",0,IF(COUNTIF($A$2:A45,A45)&gt;1,1,0))</f>
        <v>0</v>
      </c>
      <c r="P45" s="4" t="n">
        <f aca="false">IF(AND(A45&lt;&gt;"",J45&lt;&gt;"",M45&gt;0,N45&gt;0,O45=0),1,0)</f>
        <v>1</v>
      </c>
      <c r="Q45" s="7" t="n">
        <f aca="false">IF(P45=1,M45*N45,0)</f>
        <v>206.28</v>
      </c>
    </row>
    <row r="46" customFormat="false" ht="15" hidden="false" customHeight="false" outlineLevel="0" collapsed="false">
      <c r="A46" s="4" t="n">
        <v>10148</v>
      </c>
      <c r="B46" s="4" t="s">
        <v>233</v>
      </c>
      <c r="C46" s="4" t="s">
        <v>149</v>
      </c>
      <c r="D46" s="4" t="s">
        <v>129</v>
      </c>
      <c r="E46" s="4" t="s">
        <v>59</v>
      </c>
      <c r="F46" s="4" t="n">
        <v>2</v>
      </c>
      <c r="G46" s="4" t="s">
        <v>234</v>
      </c>
      <c r="H46" s="4" t="s">
        <v>54</v>
      </c>
      <c r="I46" s="4" t="s">
        <v>235</v>
      </c>
      <c r="J46" s="6" t="n">
        <f aca="false">IFERROR(DATEVALUE(B46),"")</f>
        <v>45435</v>
      </c>
      <c r="K46" s="4" t="str">
        <f aca="false">IF(A46="","",PROPER(TRIM(C46)))</f>
        <v>East</v>
      </c>
      <c r="L46" s="4" t="str">
        <f aca="false">IF(A46="","",PROPER(TRIM(D46)))</f>
        <v>Climbing Gear</v>
      </c>
      <c r="M46" s="4" t="n">
        <f aca="false">IFERROR(VALUE(F46),0)</f>
        <v>2</v>
      </c>
      <c r="N46" s="7" t="n">
        <f aca="false">IFERROR(VALUE(SUBSTITUTE(G46,"$","")),0)</f>
        <v>42.67</v>
      </c>
      <c r="O46" s="4" t="n">
        <f aca="false">IF(A46="",0,IF(COUNTIF($A$2:A46,A46)&gt;1,1,0))</f>
        <v>0</v>
      </c>
      <c r="P46" s="4" t="n">
        <f aca="false">IF(AND(A46&lt;&gt;"",J46&lt;&gt;"",M46&gt;0,N46&gt;0,O46=0),1,0)</f>
        <v>1</v>
      </c>
      <c r="Q46" s="7" t="n">
        <f aca="false">IF(P46=1,M46*N46,0)</f>
        <v>85.34</v>
      </c>
    </row>
    <row r="47" customFormat="false" ht="15" hidden="false" customHeight="false" outlineLevel="0" collapsed="false">
      <c r="A47" s="4" t="n">
        <v>10456</v>
      </c>
      <c r="B47" s="4" t="s">
        <v>236</v>
      </c>
      <c r="C47" s="4" t="s">
        <v>93</v>
      </c>
      <c r="D47" s="4" t="s">
        <v>171</v>
      </c>
      <c r="E47" s="4" t="s">
        <v>203</v>
      </c>
      <c r="F47" s="4" t="n">
        <v>1</v>
      </c>
      <c r="G47" s="4" t="s">
        <v>237</v>
      </c>
      <c r="H47" s="4" t="s">
        <v>73</v>
      </c>
      <c r="I47" s="4" t="s">
        <v>238</v>
      </c>
      <c r="J47" s="6" t="n">
        <f aca="false">IFERROR(DATEVALUE(B47),"")</f>
        <v>45443</v>
      </c>
      <c r="K47" s="4" t="str">
        <f aca="false">IF(A47="","",PROPER(TRIM(C47)))</f>
        <v>West</v>
      </c>
      <c r="L47" s="4" t="str">
        <f aca="false">IF(A47="","",PROPER(TRIM(D47)))</f>
        <v>Camping Gear</v>
      </c>
      <c r="M47" s="4" t="n">
        <f aca="false">IFERROR(VALUE(F47),0)</f>
        <v>1</v>
      </c>
      <c r="N47" s="7" t="n">
        <f aca="false">IFERROR(VALUE(SUBSTITUTE(G47,"$","")),0)</f>
        <v>218.53</v>
      </c>
      <c r="O47" s="4" t="n">
        <f aca="false">IF(A47="",0,IF(COUNTIF($A$2:A47,A47)&gt;1,1,0))</f>
        <v>0</v>
      </c>
      <c r="P47" s="4" t="n">
        <f aca="false">IF(AND(A47&lt;&gt;"",J47&lt;&gt;"",M47&gt;0,N47&gt;0,O47=0),1,0)</f>
        <v>1</v>
      </c>
      <c r="Q47" s="7" t="n">
        <f aca="false">IF(P47=1,M47*N47,0)</f>
        <v>218.53</v>
      </c>
    </row>
    <row r="48" customFormat="false" ht="15" hidden="false" customHeight="false" outlineLevel="0" collapsed="false">
      <c r="A48" s="4" t="n">
        <v>10075</v>
      </c>
      <c r="B48" s="4" t="s">
        <v>239</v>
      </c>
      <c r="C48" s="4" t="s">
        <v>187</v>
      </c>
      <c r="D48" s="4" t="s">
        <v>124</v>
      </c>
      <c r="E48" s="4" t="s">
        <v>94</v>
      </c>
      <c r="F48" s="4" t="n">
        <v>1</v>
      </c>
      <c r="G48" s="4" t="s">
        <v>240</v>
      </c>
      <c r="H48" s="4" t="s">
        <v>54</v>
      </c>
      <c r="I48" s="4" t="s">
        <v>241</v>
      </c>
      <c r="J48" s="6" t="n">
        <f aca="false">IFERROR(DATEVALUE(B48),"")</f>
        <v>45783</v>
      </c>
      <c r="K48" s="4" t="str">
        <f aca="false">IF(A48="","",PROPER(TRIM(C48)))</f>
        <v>East</v>
      </c>
      <c r="L48" s="4" t="str">
        <f aca="false">IF(A48="","",PROPER(TRIM(D48)))</f>
        <v>Climbing Gear</v>
      </c>
      <c r="M48" s="4" t="n">
        <f aca="false">IFERROR(VALUE(F48),0)</f>
        <v>1</v>
      </c>
      <c r="N48" s="7" t="n">
        <f aca="false">IFERROR(VALUE(SUBSTITUTE(G48,"$","")),0)</f>
        <v>154.16</v>
      </c>
      <c r="O48" s="4" t="n">
        <f aca="false">IF(A48="",0,IF(COUNTIF($A$2:A48,A48)&gt;1,1,0))</f>
        <v>0</v>
      </c>
      <c r="P48" s="4" t="n">
        <f aca="false">IF(AND(A48&lt;&gt;"",J48&lt;&gt;"",M48&gt;0,N48&gt;0,O48=0),1,0)</f>
        <v>1</v>
      </c>
      <c r="Q48" s="7" t="n">
        <f aca="false">IF(P48=1,M48*N48,0)</f>
        <v>154.16</v>
      </c>
    </row>
    <row r="49" customFormat="false" ht="15" hidden="false" customHeight="false" outlineLevel="0" collapsed="false">
      <c r="A49" s="4" t="n">
        <v>10560</v>
      </c>
      <c r="B49" s="4" t="s">
        <v>242</v>
      </c>
      <c r="C49" s="4" t="s">
        <v>69</v>
      </c>
      <c r="D49" s="4" t="s">
        <v>230</v>
      </c>
      <c r="E49" s="4" t="s">
        <v>243</v>
      </c>
      <c r="F49" s="4" t="n">
        <v>1</v>
      </c>
      <c r="G49" s="4" t="s">
        <v>244</v>
      </c>
      <c r="H49" s="4" t="s">
        <v>73</v>
      </c>
      <c r="I49" s="4" t="s">
        <v>245</v>
      </c>
      <c r="J49" s="6" t="n">
        <f aca="false">IFERROR(DATEVALUE(B49),"")</f>
        <v>45770</v>
      </c>
      <c r="K49" s="4" t="str">
        <f aca="false">IF(A49="","",PROPER(TRIM(C49)))</f>
        <v>East</v>
      </c>
      <c r="L49" s="4" t="str">
        <f aca="false">IF(A49="","",PROPER(TRIM(D49)))</f>
        <v>Apparel</v>
      </c>
      <c r="M49" s="4" t="n">
        <f aca="false">IFERROR(VALUE(F49),0)</f>
        <v>1</v>
      </c>
      <c r="N49" s="7" t="n">
        <f aca="false">IFERROR(VALUE(SUBSTITUTE(G49,"$","")),0)</f>
        <v>80.93</v>
      </c>
      <c r="O49" s="4" t="n">
        <f aca="false">IF(A49="",0,IF(COUNTIF($A$2:A49,A49)&gt;1,1,0))</f>
        <v>0</v>
      </c>
      <c r="P49" s="4" t="n">
        <f aca="false">IF(AND(A49&lt;&gt;"",J49&lt;&gt;"",M49&gt;0,N49&gt;0,O49=0),1,0)</f>
        <v>1</v>
      </c>
      <c r="Q49" s="7" t="n">
        <f aca="false">IF(P49=1,M49*N49,0)</f>
        <v>80.93</v>
      </c>
    </row>
    <row r="50" customFormat="false" ht="15" hidden="false" customHeight="false" outlineLevel="0" collapsed="false">
      <c r="A50" s="4" t="n">
        <v>10329</v>
      </c>
      <c r="B50" s="4" t="s">
        <v>246</v>
      </c>
      <c r="C50" s="4" t="s">
        <v>110</v>
      </c>
      <c r="D50" s="4" t="s">
        <v>58</v>
      </c>
      <c r="E50" s="4" t="s">
        <v>59</v>
      </c>
      <c r="F50" s="4" t="n">
        <v>3</v>
      </c>
      <c r="G50" s="4" t="s">
        <v>247</v>
      </c>
      <c r="H50" s="4" t="s">
        <v>73</v>
      </c>
      <c r="I50" s="4" t="s">
        <v>248</v>
      </c>
      <c r="J50" s="6" t="n">
        <f aca="false">IFERROR(DATEVALUE(B50),"")</f>
        <v>45773</v>
      </c>
      <c r="K50" s="4" t="str">
        <f aca="false">IF(A50="","",PROPER(TRIM(C50)))</f>
        <v>Midwest</v>
      </c>
      <c r="L50" s="4" t="str">
        <f aca="false">IF(A50="","",PROPER(TRIM(D50)))</f>
        <v>Climbing Gear</v>
      </c>
      <c r="M50" s="4" t="n">
        <f aca="false">IFERROR(VALUE(F50),0)</f>
        <v>3</v>
      </c>
      <c r="N50" s="7" t="n">
        <f aca="false">IFERROR(VALUE(SUBSTITUTE(G50,"$","")),0)</f>
        <v>42.38</v>
      </c>
      <c r="O50" s="4" t="n">
        <f aca="false">IF(A50="",0,IF(COUNTIF($A$2:A50,A50)&gt;1,1,0))</f>
        <v>0</v>
      </c>
      <c r="P50" s="4" t="n">
        <f aca="false">IF(AND(A50&lt;&gt;"",J50&lt;&gt;"",M50&gt;0,N50&gt;0,O50=0),1,0)</f>
        <v>1</v>
      </c>
      <c r="Q50" s="7" t="n">
        <f aca="false">IF(P50=1,M50*N50,0)</f>
        <v>127.14</v>
      </c>
    </row>
    <row r="51" customFormat="false" ht="15" hidden="false" customHeight="false" outlineLevel="0" collapsed="false">
      <c r="A51" s="4" t="n">
        <v>10045</v>
      </c>
      <c r="B51" s="4" t="s">
        <v>249</v>
      </c>
      <c r="C51" s="4" t="s">
        <v>133</v>
      </c>
      <c r="D51" s="4" t="s">
        <v>250</v>
      </c>
      <c r="E51" s="4" t="s">
        <v>251</v>
      </c>
      <c r="F51" s="4" t="n">
        <v>1</v>
      </c>
      <c r="G51" s="4" t="s">
        <v>252</v>
      </c>
      <c r="H51" s="4" t="s">
        <v>47</v>
      </c>
      <c r="I51" s="4" t="s">
        <v>253</v>
      </c>
      <c r="J51" s="6" t="n">
        <f aca="false">IFERROR(DATEVALUE(B51),"")</f>
        <v>45489</v>
      </c>
      <c r="K51" s="4" t="str">
        <f aca="false">IF(A51="","",PROPER(TRIM(C51)))</f>
        <v>East</v>
      </c>
      <c r="L51" s="4" t="str">
        <f aca="false">IF(A51="","",PROPER(TRIM(D51)))</f>
        <v>Camping Gear</v>
      </c>
      <c r="M51" s="4" t="n">
        <f aca="false">IFERROR(VALUE(F51),0)</f>
        <v>1</v>
      </c>
      <c r="N51" s="7" t="n">
        <f aca="false">IFERROR(VALUE(SUBSTITUTE(G51,"$","")),0)</f>
        <v>80.54</v>
      </c>
      <c r="O51" s="4" t="n">
        <f aca="false">IF(A51="",0,IF(COUNTIF($A$2:A51,A51)&gt;1,1,0))</f>
        <v>0</v>
      </c>
      <c r="P51" s="4" t="n">
        <f aca="false">IF(AND(A51&lt;&gt;"",J51&lt;&gt;"",M51&gt;0,N51&gt;0,O51=0),1,0)</f>
        <v>1</v>
      </c>
      <c r="Q51" s="7" t="n">
        <f aca="false">IF(P51=1,M51*N51,0)</f>
        <v>80.54</v>
      </c>
    </row>
    <row r="52" customFormat="false" ht="15" hidden="false" customHeight="false" outlineLevel="0" collapsed="false">
      <c r="A52" s="4" t="n">
        <v>10339</v>
      </c>
      <c r="B52" s="4" t="s">
        <v>254</v>
      </c>
      <c r="C52" s="4" t="s">
        <v>93</v>
      </c>
      <c r="D52" s="4" t="s">
        <v>230</v>
      </c>
      <c r="E52" s="4" t="s">
        <v>142</v>
      </c>
      <c r="F52" s="4" t="n">
        <v>1</v>
      </c>
      <c r="G52" s="4" t="s">
        <v>255</v>
      </c>
      <c r="H52" s="4" t="s">
        <v>73</v>
      </c>
      <c r="I52" s="4" t="s">
        <v>256</v>
      </c>
      <c r="J52" s="6" t="n">
        <f aca="false">IFERROR(DATEVALUE(B52),"")</f>
        <v>45684</v>
      </c>
      <c r="K52" s="4" t="str">
        <f aca="false">IF(A52="","",PROPER(TRIM(C52)))</f>
        <v>West</v>
      </c>
      <c r="L52" s="4" t="str">
        <f aca="false">IF(A52="","",PROPER(TRIM(D52)))</f>
        <v>Apparel</v>
      </c>
      <c r="M52" s="4" t="n">
        <f aca="false">IFERROR(VALUE(F52),0)</f>
        <v>1</v>
      </c>
      <c r="N52" s="7" t="n">
        <f aca="false">IFERROR(VALUE(SUBSTITUTE(G52,"$","")),0)</f>
        <v>177.82</v>
      </c>
      <c r="O52" s="4" t="n">
        <f aca="false">IF(A52="",0,IF(COUNTIF($A$2:A52,A52)&gt;1,1,0))</f>
        <v>0</v>
      </c>
      <c r="P52" s="4" t="n">
        <f aca="false">IF(AND(A52&lt;&gt;"",J52&lt;&gt;"",M52&gt;0,N52&gt;0,O52=0),1,0)</f>
        <v>1</v>
      </c>
      <c r="Q52" s="7" t="n">
        <f aca="false">IF(P52=1,M52*N52,0)</f>
        <v>177.82</v>
      </c>
    </row>
    <row r="53" customFormat="false" ht="15" hidden="false" customHeight="false" outlineLevel="0" collapsed="false">
      <c r="A53" s="4" t="n">
        <v>10449</v>
      </c>
      <c r="B53" s="4" t="s">
        <v>257</v>
      </c>
      <c r="C53" s="4" t="s">
        <v>43</v>
      </c>
      <c r="D53" s="4" t="s">
        <v>88</v>
      </c>
      <c r="E53" s="4" t="s">
        <v>89</v>
      </c>
      <c r="F53" s="4" t="n">
        <v>1</v>
      </c>
      <c r="G53" s="4" t="s">
        <v>258</v>
      </c>
      <c r="H53" s="4" t="s">
        <v>54</v>
      </c>
      <c r="I53" s="4" t="s">
        <v>259</v>
      </c>
      <c r="J53" s="6" t="n">
        <f aca="false">IFERROR(DATEVALUE(B53),"")</f>
        <v>45597</v>
      </c>
      <c r="K53" s="4" t="str">
        <f aca="false">IF(A53="","",PROPER(TRIM(C53)))</f>
        <v>South</v>
      </c>
      <c r="L53" s="4" t="str">
        <f aca="false">IF(A53="","",PROPER(TRIM(D53)))</f>
        <v>Apparel</v>
      </c>
      <c r="M53" s="4" t="n">
        <f aca="false">IFERROR(VALUE(F53),0)</f>
        <v>1</v>
      </c>
      <c r="N53" s="7" t="n">
        <f aca="false">IFERROR(VALUE(SUBSTITUTE(G53,"$","")),0)</f>
        <v>61.47</v>
      </c>
      <c r="O53" s="4" t="n">
        <f aca="false">IF(A53="",0,IF(COUNTIF($A$2:A53,A53)&gt;1,1,0))</f>
        <v>0</v>
      </c>
      <c r="P53" s="4" t="n">
        <f aca="false">IF(AND(A53&lt;&gt;"",J53&lt;&gt;"",M53&gt;0,N53&gt;0,O53=0),1,0)</f>
        <v>1</v>
      </c>
      <c r="Q53" s="7" t="n">
        <f aca="false">IF(P53=1,M53*N53,0)</f>
        <v>61.47</v>
      </c>
    </row>
    <row r="54" customFormat="false" ht="15" hidden="false" customHeight="false" outlineLevel="0" collapsed="false">
      <c r="A54" s="4" t="n">
        <v>10447</v>
      </c>
      <c r="B54" s="4" t="s">
        <v>260</v>
      </c>
      <c r="C54" s="4" t="s">
        <v>149</v>
      </c>
      <c r="D54" s="4" t="s">
        <v>58</v>
      </c>
      <c r="E54" s="4" t="s">
        <v>188</v>
      </c>
      <c r="F54" s="4" t="n">
        <v>1</v>
      </c>
      <c r="G54" s="4" t="s">
        <v>261</v>
      </c>
      <c r="H54" s="4" t="s">
        <v>47</v>
      </c>
      <c r="I54" s="4" t="s">
        <v>262</v>
      </c>
      <c r="J54" s="6" t="n">
        <f aca="false">IFERROR(DATEVALUE(B54),"")</f>
        <v>45402</v>
      </c>
      <c r="K54" s="4" t="str">
        <f aca="false">IF(A54="","",PROPER(TRIM(C54)))</f>
        <v>East</v>
      </c>
      <c r="L54" s="4" t="str">
        <f aca="false">IF(A54="","",PROPER(TRIM(D54)))</f>
        <v>Climbing Gear</v>
      </c>
      <c r="M54" s="4" t="n">
        <f aca="false">IFERROR(VALUE(F54),0)</f>
        <v>1</v>
      </c>
      <c r="N54" s="7" t="n">
        <f aca="false">IFERROR(VALUE(SUBSTITUTE(G54,"$","")),0)</f>
        <v>19.82</v>
      </c>
      <c r="O54" s="4" t="n">
        <f aca="false">IF(A54="",0,IF(COUNTIF($A$2:A54,A54)&gt;1,1,0))</f>
        <v>0</v>
      </c>
      <c r="P54" s="4" t="n">
        <f aca="false">IF(AND(A54&lt;&gt;"",J54&lt;&gt;"",M54&gt;0,N54&gt;0,O54=0),1,0)</f>
        <v>1</v>
      </c>
      <c r="Q54" s="7" t="n">
        <f aca="false">IF(P54=1,M54*N54,0)</f>
        <v>19.82</v>
      </c>
    </row>
    <row r="55" customFormat="false" ht="15" hidden="false" customHeight="false" outlineLevel="0" collapsed="false">
      <c r="A55" s="4" t="n">
        <v>10082</v>
      </c>
      <c r="B55" s="4" t="s">
        <v>263</v>
      </c>
      <c r="C55" s="4" t="s">
        <v>140</v>
      </c>
      <c r="D55" s="4" t="s">
        <v>217</v>
      </c>
      <c r="E55" s="4" t="s">
        <v>116</v>
      </c>
      <c r="F55" s="4" t="n">
        <v>1</v>
      </c>
      <c r="G55" s="4" t="s">
        <v>264</v>
      </c>
      <c r="H55" s="4" t="s">
        <v>54</v>
      </c>
      <c r="I55" s="4" t="s">
        <v>265</v>
      </c>
      <c r="J55" s="6" t="n">
        <f aca="false">IFERROR(DATEVALUE(B55),"")</f>
        <v>45811</v>
      </c>
      <c r="K55" s="4" t="str">
        <f aca="false">IF(A55="","",PROPER(TRIM(C55)))</f>
        <v>South</v>
      </c>
      <c r="L55" s="4" t="str">
        <f aca="false">IF(A55="","",PROPER(TRIM(D55)))</f>
        <v>Apparel</v>
      </c>
      <c r="M55" s="4" t="n">
        <f aca="false">IFERROR(VALUE(F55),0)</f>
        <v>1</v>
      </c>
      <c r="N55" s="7" t="n">
        <f aca="false">IFERROR(VALUE(SUBSTITUTE(G55,"$","")),0)</f>
        <v>66.48</v>
      </c>
      <c r="O55" s="4" t="n">
        <f aca="false">IF(A55="",0,IF(COUNTIF($A$2:A55,A55)&gt;1,1,0))</f>
        <v>0</v>
      </c>
      <c r="P55" s="4" t="n">
        <f aca="false">IF(AND(A55&lt;&gt;"",J55&lt;&gt;"",M55&gt;0,N55&gt;0,O55=0),1,0)</f>
        <v>1</v>
      </c>
      <c r="Q55" s="7" t="n">
        <f aca="false">IF(P55=1,M55*N55,0)</f>
        <v>66.48</v>
      </c>
    </row>
    <row r="56" customFormat="false" ht="15" hidden="false" customHeight="false" outlineLevel="0" collapsed="false">
      <c r="A56" s="4" t="n">
        <v>10387</v>
      </c>
      <c r="B56" s="4" t="s">
        <v>266</v>
      </c>
      <c r="C56" s="4" t="s">
        <v>183</v>
      </c>
      <c r="D56" s="4" t="s">
        <v>171</v>
      </c>
      <c r="E56" s="4" t="s">
        <v>71</v>
      </c>
      <c r="F56" s="4" t="n">
        <v>2</v>
      </c>
      <c r="G56" s="4" t="s">
        <v>267</v>
      </c>
      <c r="H56" s="4" t="s">
        <v>54</v>
      </c>
      <c r="I56" s="4" t="s">
        <v>268</v>
      </c>
      <c r="J56" s="6" t="n">
        <f aca="false">IFERROR(DATEVALUE(B56),"")</f>
        <v>45465</v>
      </c>
      <c r="K56" s="4" t="str">
        <f aca="false">IF(A56="","",PROPER(TRIM(C56)))</f>
        <v>West</v>
      </c>
      <c r="L56" s="4" t="str">
        <f aca="false">IF(A56="","",PROPER(TRIM(D56)))</f>
        <v>Camping Gear</v>
      </c>
      <c r="M56" s="4" t="n">
        <f aca="false">IFERROR(VALUE(F56),0)</f>
        <v>2</v>
      </c>
      <c r="N56" s="7" t="n">
        <f aca="false">IFERROR(VALUE(SUBSTITUTE(G56,"$","")),0)</f>
        <v>74.44</v>
      </c>
      <c r="O56" s="4" t="n">
        <f aca="false">IF(A56="",0,IF(COUNTIF($A$2:A56,A56)&gt;1,1,0))</f>
        <v>0</v>
      </c>
      <c r="P56" s="4" t="n">
        <f aca="false">IF(AND(A56&lt;&gt;"",J56&lt;&gt;"",M56&gt;0,N56&gt;0,O56=0),1,0)</f>
        <v>1</v>
      </c>
      <c r="Q56" s="7" t="n">
        <f aca="false">IF(P56=1,M56*N56,0)</f>
        <v>148.88</v>
      </c>
    </row>
    <row r="57" customFormat="false" ht="15" hidden="false" customHeight="false" outlineLevel="0" collapsed="false">
      <c r="A57" s="4" t="n">
        <v>10051</v>
      </c>
      <c r="B57" s="4" t="s">
        <v>269</v>
      </c>
      <c r="C57" s="4" t="s">
        <v>178</v>
      </c>
      <c r="D57" s="4" t="s">
        <v>179</v>
      </c>
      <c r="E57" s="4" t="s">
        <v>59</v>
      </c>
      <c r="F57" s="4" t="n">
        <v>2</v>
      </c>
      <c r="G57" s="4" t="s">
        <v>270</v>
      </c>
      <c r="H57" s="4" t="s">
        <v>54</v>
      </c>
      <c r="I57" s="4" t="s">
        <v>271</v>
      </c>
      <c r="J57" s="6" t="n">
        <f aca="false">IFERROR(DATEVALUE(B57),"")</f>
        <v>45490</v>
      </c>
      <c r="K57" s="4" t="str">
        <f aca="false">IF(A57="","",PROPER(TRIM(C57)))</f>
        <v>South</v>
      </c>
      <c r="L57" s="4" t="str">
        <f aca="false">IF(A57="","",PROPER(TRIM(D57)))</f>
        <v>Climbing Gear</v>
      </c>
      <c r="M57" s="4" t="n">
        <f aca="false">IFERROR(VALUE(F57),0)</f>
        <v>2</v>
      </c>
      <c r="N57" s="7" t="n">
        <f aca="false">IFERROR(VALUE(SUBSTITUTE(G57,"$","")),0)</f>
        <v>36.54</v>
      </c>
      <c r="O57" s="4" t="n">
        <f aca="false">IF(A57="",0,IF(COUNTIF($A$2:A57,A57)&gt;1,1,0))</f>
        <v>0</v>
      </c>
      <c r="P57" s="4" t="n">
        <f aca="false">IF(AND(A57&lt;&gt;"",J57&lt;&gt;"",M57&gt;0,N57&gt;0,O57=0),1,0)</f>
        <v>1</v>
      </c>
      <c r="Q57" s="7" t="n">
        <f aca="false">IF(P57=1,M57*N57,0)</f>
        <v>73.08</v>
      </c>
    </row>
    <row r="58" customFormat="false" ht="15" hidden="false" customHeight="false" outlineLevel="0" collapsed="false">
      <c r="A58" s="4" t="n">
        <v>10536</v>
      </c>
      <c r="B58" s="4" t="s">
        <v>272</v>
      </c>
      <c r="C58" s="4" t="s">
        <v>133</v>
      </c>
      <c r="D58" s="4" t="s">
        <v>202</v>
      </c>
      <c r="E58" s="4" t="s">
        <v>251</v>
      </c>
      <c r="F58" s="4" t="n">
        <v>2</v>
      </c>
      <c r="G58" s="4" t="s">
        <v>273</v>
      </c>
      <c r="H58" s="4" t="s">
        <v>47</v>
      </c>
      <c r="I58" s="4" t="s">
        <v>274</v>
      </c>
      <c r="J58" s="6" t="n">
        <f aca="false">IFERROR(DATEVALUE(B58),"")</f>
        <v>45408</v>
      </c>
      <c r="K58" s="4" t="str">
        <f aca="false">IF(A58="","",PROPER(TRIM(C58)))</f>
        <v>East</v>
      </c>
      <c r="L58" s="4" t="str">
        <f aca="false">IF(A58="","",PROPER(TRIM(D58)))</f>
        <v>Camping Gear</v>
      </c>
      <c r="M58" s="4" t="n">
        <f aca="false">IFERROR(VALUE(F58),0)</f>
        <v>2</v>
      </c>
      <c r="N58" s="7" t="n">
        <f aca="false">IFERROR(VALUE(SUBSTITUTE(G58,"$","")),0)</f>
        <v>75.11</v>
      </c>
      <c r="O58" s="4" t="n">
        <f aca="false">IF(A58="",0,IF(COUNTIF($A$2:A58,A58)&gt;1,1,0))</f>
        <v>0</v>
      </c>
      <c r="P58" s="4" t="n">
        <f aca="false">IF(AND(A58&lt;&gt;"",J58&lt;&gt;"",M58&gt;0,N58&gt;0,O58=0),1,0)</f>
        <v>1</v>
      </c>
      <c r="Q58" s="7" t="n">
        <f aca="false">IF(P58=1,M58*N58,0)</f>
        <v>150.22</v>
      </c>
    </row>
    <row r="59" customFormat="false" ht="15" hidden="false" customHeight="false" outlineLevel="0" collapsed="false">
      <c r="A59" s="4" t="n">
        <v>10254</v>
      </c>
      <c r="B59" s="4" t="s">
        <v>275</v>
      </c>
      <c r="C59" s="4" t="s">
        <v>183</v>
      </c>
      <c r="D59" s="4" t="s">
        <v>64</v>
      </c>
      <c r="E59" s="4" t="s">
        <v>151</v>
      </c>
      <c r="F59" s="4" t="n">
        <v>1</v>
      </c>
      <c r="G59" s="4" t="s">
        <v>276</v>
      </c>
      <c r="H59" s="4" t="s">
        <v>54</v>
      </c>
      <c r="I59" s="4" t="s">
        <v>138</v>
      </c>
      <c r="J59" s="6" t="n">
        <f aca="false">IFERROR(DATEVALUE(B59),"")</f>
        <v>45310</v>
      </c>
      <c r="K59" s="4" t="str">
        <f aca="false">IF(A59="","",PROPER(TRIM(C59)))</f>
        <v>West</v>
      </c>
      <c r="L59" s="4" t="str">
        <f aca="false">IF(A59="","",PROPER(TRIM(D59)))</f>
        <v>Footwear</v>
      </c>
      <c r="M59" s="4" t="n">
        <f aca="false">IFERROR(VALUE(F59),0)</f>
        <v>1</v>
      </c>
      <c r="N59" s="7" t="n">
        <f aca="false">IFERROR(VALUE(SUBSTITUTE(G59,"$","")),0)</f>
        <v>153.49</v>
      </c>
      <c r="O59" s="4" t="n">
        <f aca="false">IF(A59="",0,IF(COUNTIF($A$2:A59,A59)&gt;1,1,0))</f>
        <v>0</v>
      </c>
      <c r="P59" s="4" t="n">
        <f aca="false">IF(AND(A59&lt;&gt;"",J59&lt;&gt;"",M59&gt;0,N59&gt;0,O59=0),1,0)</f>
        <v>1</v>
      </c>
      <c r="Q59" s="7" t="n">
        <f aca="false">IF(P59=1,M59*N59,0)</f>
        <v>153.49</v>
      </c>
    </row>
    <row r="60" customFormat="false" ht="15" hidden="false" customHeight="false" outlineLevel="0" collapsed="false">
      <c r="A60" s="4" t="n">
        <v>10709</v>
      </c>
      <c r="B60" s="4" t="s">
        <v>277</v>
      </c>
      <c r="C60" s="4" t="s">
        <v>69</v>
      </c>
      <c r="D60" s="4" t="s">
        <v>171</v>
      </c>
      <c r="E60" s="4" t="s">
        <v>251</v>
      </c>
      <c r="F60" s="4" t="n">
        <v>3</v>
      </c>
      <c r="G60" s="4" t="s">
        <v>278</v>
      </c>
      <c r="H60" s="4" t="s">
        <v>73</v>
      </c>
      <c r="I60" s="4" t="s">
        <v>279</v>
      </c>
      <c r="J60" s="6" t="n">
        <f aca="false">IFERROR(DATEVALUE(B60),"")</f>
        <v>45796</v>
      </c>
      <c r="K60" s="4" t="str">
        <f aca="false">IF(A60="","",PROPER(TRIM(C60)))</f>
        <v>East</v>
      </c>
      <c r="L60" s="4" t="str">
        <f aca="false">IF(A60="","",PROPER(TRIM(D60)))</f>
        <v>Camping Gear</v>
      </c>
      <c r="M60" s="4" t="n">
        <f aca="false">IFERROR(VALUE(F60),0)</f>
        <v>3</v>
      </c>
      <c r="N60" s="7" t="n">
        <f aca="false">IFERROR(VALUE(SUBSTITUTE(G60,"$","")),0)</f>
        <v>82.31</v>
      </c>
      <c r="O60" s="4" t="n">
        <f aca="false">IF(A60="",0,IF(COUNTIF($A$2:A60,A60)&gt;1,1,0))</f>
        <v>0</v>
      </c>
      <c r="P60" s="4" t="n">
        <f aca="false">IF(AND(A60&lt;&gt;"",J60&lt;&gt;"",M60&gt;0,N60&gt;0,O60=0),1,0)</f>
        <v>1</v>
      </c>
      <c r="Q60" s="7" t="n">
        <f aca="false">IF(P60=1,M60*N60,0)</f>
        <v>246.93</v>
      </c>
    </row>
    <row r="61" customFormat="false" ht="15" hidden="false" customHeight="false" outlineLevel="0" collapsed="false">
      <c r="A61" s="4" t="n">
        <v>10065</v>
      </c>
      <c r="B61" s="4" t="s">
        <v>280</v>
      </c>
      <c r="C61" s="4" t="s">
        <v>105</v>
      </c>
      <c r="D61" s="4" t="s">
        <v>281</v>
      </c>
      <c r="E61" s="4" t="s">
        <v>251</v>
      </c>
      <c r="F61" s="4" t="n">
        <v>1</v>
      </c>
      <c r="G61" s="4" t="s">
        <v>282</v>
      </c>
      <c r="H61" s="4" t="s">
        <v>47</v>
      </c>
      <c r="I61" s="4" t="s">
        <v>283</v>
      </c>
      <c r="J61" s="6" t="str">
        <f aca="false">IFERROR(DATEVALUE(B61),"")</f>
        <v/>
      </c>
      <c r="K61" s="4" t="str">
        <f aca="false">IF(A61="","",PROPER(TRIM(C61)))</f>
        <v>Midwest</v>
      </c>
      <c r="L61" s="4" t="str">
        <f aca="false">IF(A61="","",PROPER(TRIM(D61)))</f>
        <v>Camping Gear</v>
      </c>
      <c r="M61" s="4" t="n">
        <f aca="false">IFERROR(VALUE(F61),0)</f>
        <v>1</v>
      </c>
      <c r="N61" s="7" t="n">
        <f aca="false">IFERROR(VALUE(SUBSTITUTE(G61,"$","")),0)</f>
        <v>85.56</v>
      </c>
      <c r="O61" s="4" t="n">
        <f aca="false">IF(A61="",0,IF(COUNTIF($A$2:A61,A61)&gt;1,1,0))</f>
        <v>0</v>
      </c>
      <c r="P61" s="4" t="n">
        <f aca="false">IF(AND(A61&lt;&gt;"",J61&lt;&gt;"",M61&gt;0,N61&gt;0,O61=0),1,0)</f>
        <v>0</v>
      </c>
      <c r="Q61" s="7" t="n">
        <f aca="false">IF(P61=1,M61*N61,0)</f>
        <v>0</v>
      </c>
    </row>
    <row r="62" customFormat="false" ht="15" hidden="false" customHeight="false" outlineLevel="0" collapsed="false">
      <c r="A62" s="4" t="n">
        <v>10355</v>
      </c>
      <c r="B62" s="4" t="s">
        <v>284</v>
      </c>
      <c r="C62" s="4" t="s">
        <v>93</v>
      </c>
      <c r="D62" s="4" t="s">
        <v>64</v>
      </c>
      <c r="E62" s="4" t="s">
        <v>111</v>
      </c>
      <c r="F62" s="4" t="n">
        <v>1</v>
      </c>
      <c r="G62" s="4" t="s">
        <v>285</v>
      </c>
      <c r="H62" s="4" t="s">
        <v>54</v>
      </c>
      <c r="I62" s="4" t="s">
        <v>286</v>
      </c>
      <c r="J62" s="6" t="n">
        <f aca="false">IFERROR(DATEVALUE(B62),"")</f>
        <v>45772</v>
      </c>
      <c r="K62" s="4" t="str">
        <f aca="false">IF(A62="","",PROPER(TRIM(C62)))</f>
        <v>West</v>
      </c>
      <c r="L62" s="4" t="str">
        <f aca="false">IF(A62="","",PROPER(TRIM(D62)))</f>
        <v>Footwear</v>
      </c>
      <c r="M62" s="4" t="n">
        <f aca="false">IFERROR(VALUE(F62),0)</f>
        <v>1</v>
      </c>
      <c r="N62" s="7" t="n">
        <f aca="false">IFERROR(VALUE(SUBSTITUTE(G62,"$","")),0)</f>
        <v>91.44</v>
      </c>
      <c r="O62" s="4" t="n">
        <f aca="false">IF(A62="",0,IF(COUNTIF($A$2:A62,A62)&gt;1,1,0))</f>
        <v>0</v>
      </c>
      <c r="P62" s="4" t="n">
        <f aca="false">IF(AND(A62&lt;&gt;"",J62&lt;&gt;"",M62&gt;0,N62&gt;0,O62=0),1,0)</f>
        <v>1</v>
      </c>
      <c r="Q62" s="7" t="n">
        <f aca="false">IF(P62=1,M62*N62,0)</f>
        <v>91.44</v>
      </c>
    </row>
    <row r="63" customFormat="false" ht="15" hidden="false" customHeight="false" outlineLevel="0" collapsed="false">
      <c r="A63" s="4" t="n">
        <v>10112</v>
      </c>
      <c r="B63" s="4" t="s">
        <v>287</v>
      </c>
      <c r="C63" s="4" t="s">
        <v>187</v>
      </c>
      <c r="D63" s="4" t="s">
        <v>58</v>
      </c>
      <c r="E63" s="4" t="s">
        <v>94</v>
      </c>
      <c r="F63" s="4" t="n">
        <v>2</v>
      </c>
      <c r="G63" s="4" t="s">
        <v>288</v>
      </c>
      <c r="H63" s="4" t="s">
        <v>47</v>
      </c>
      <c r="I63" s="4" t="s">
        <v>289</v>
      </c>
      <c r="J63" s="6" t="n">
        <f aca="false">IFERROR(DATEVALUE(B63),"")</f>
        <v>45376</v>
      </c>
      <c r="K63" s="4" t="str">
        <f aca="false">IF(A63="","",PROPER(TRIM(C63)))</f>
        <v>East</v>
      </c>
      <c r="L63" s="4" t="str">
        <f aca="false">IF(A63="","",PROPER(TRIM(D63)))</f>
        <v>Climbing Gear</v>
      </c>
      <c r="M63" s="4" t="n">
        <f aca="false">IFERROR(VALUE(F63),0)</f>
        <v>2</v>
      </c>
      <c r="N63" s="7" t="n">
        <f aca="false">IFERROR(VALUE(SUBSTITUTE(G63,"$","")),0)</f>
        <v>169.06</v>
      </c>
      <c r="O63" s="4" t="n">
        <f aca="false">IF(A63="",0,IF(COUNTIF($A$2:A63,A63)&gt;1,1,0))</f>
        <v>0</v>
      </c>
      <c r="P63" s="4" t="n">
        <f aca="false">IF(AND(A63&lt;&gt;"",J63&lt;&gt;"",M63&gt;0,N63&gt;0,O63=0),1,0)</f>
        <v>1</v>
      </c>
      <c r="Q63" s="7" t="n">
        <f aca="false">IF(P63=1,M63*N63,0)</f>
        <v>338.12</v>
      </c>
    </row>
    <row r="64" customFormat="false" ht="15" hidden="false" customHeight="false" outlineLevel="0" collapsed="false">
      <c r="A64" s="4" t="n">
        <v>10195</v>
      </c>
      <c r="B64" s="4" t="s">
        <v>290</v>
      </c>
      <c r="C64" s="4" t="s">
        <v>149</v>
      </c>
      <c r="D64" s="4" t="s">
        <v>179</v>
      </c>
      <c r="E64" s="4" t="s">
        <v>125</v>
      </c>
      <c r="F64" s="4" t="n">
        <v>2</v>
      </c>
      <c r="G64" s="4" t="s">
        <v>291</v>
      </c>
      <c r="H64" s="4" t="s">
        <v>47</v>
      </c>
      <c r="I64" s="4" t="s">
        <v>166</v>
      </c>
      <c r="J64" s="6" t="n">
        <f aca="false">IFERROR(DATEVALUE(B64),"")</f>
        <v>45580</v>
      </c>
      <c r="K64" s="4" t="str">
        <f aca="false">IF(A64="","",PROPER(TRIM(C64)))</f>
        <v>East</v>
      </c>
      <c r="L64" s="4" t="str">
        <f aca="false">IF(A64="","",PROPER(TRIM(D64)))</f>
        <v>Climbing Gear</v>
      </c>
      <c r="M64" s="4" t="n">
        <f aca="false">IFERROR(VALUE(F64),0)</f>
        <v>2</v>
      </c>
      <c r="N64" s="7" t="n">
        <f aca="false">IFERROR(VALUE(SUBSTITUTE(G64,"$","")),0)</f>
        <v>94.11</v>
      </c>
      <c r="O64" s="4" t="n">
        <f aca="false">IF(A64="",0,IF(COUNTIF($A$2:A64,A64)&gt;1,1,0))</f>
        <v>0</v>
      </c>
      <c r="P64" s="4" t="n">
        <f aca="false">IF(AND(A64&lt;&gt;"",J64&lt;&gt;"",M64&gt;0,N64&gt;0,O64=0),1,0)</f>
        <v>1</v>
      </c>
      <c r="Q64" s="7" t="n">
        <f aca="false">IF(P64=1,M64*N64,0)</f>
        <v>188.22</v>
      </c>
    </row>
    <row r="65" customFormat="false" ht="15" hidden="false" customHeight="false" outlineLevel="0" collapsed="false">
      <c r="A65" s="4" t="n">
        <v>10497</v>
      </c>
      <c r="B65" s="4" t="s">
        <v>266</v>
      </c>
      <c r="C65" s="4" t="s">
        <v>178</v>
      </c>
      <c r="D65" s="4" t="s">
        <v>124</v>
      </c>
      <c r="E65" s="4" t="s">
        <v>59</v>
      </c>
      <c r="F65" s="4" t="n">
        <v>2</v>
      </c>
      <c r="G65" s="4" t="s">
        <v>292</v>
      </c>
      <c r="H65" s="4" t="s">
        <v>73</v>
      </c>
      <c r="I65" s="4" t="s">
        <v>118</v>
      </c>
      <c r="J65" s="6" t="n">
        <f aca="false">IFERROR(DATEVALUE(B65),"")</f>
        <v>45465</v>
      </c>
      <c r="K65" s="4" t="str">
        <f aca="false">IF(A65="","",PROPER(TRIM(C65)))</f>
        <v>South</v>
      </c>
      <c r="L65" s="4" t="str">
        <f aca="false">IF(A65="","",PROPER(TRIM(D65)))</f>
        <v>Climbing Gear</v>
      </c>
      <c r="M65" s="4" t="n">
        <f aca="false">IFERROR(VALUE(F65),0)</f>
        <v>2</v>
      </c>
      <c r="N65" s="7" t="n">
        <f aca="false">IFERROR(VALUE(SUBSTITUTE(G65,"$","")),0)</f>
        <v>43.59</v>
      </c>
      <c r="O65" s="4" t="n">
        <f aca="false">IF(A65="",0,IF(COUNTIF($A$2:A65,A65)&gt;1,1,0))</f>
        <v>0</v>
      </c>
      <c r="P65" s="4" t="n">
        <f aca="false">IF(AND(A65&lt;&gt;"",J65&lt;&gt;"",M65&gt;0,N65&gt;0,O65=0),1,0)</f>
        <v>1</v>
      </c>
      <c r="Q65" s="7" t="n">
        <f aca="false">IF(P65=1,M65*N65,0)</f>
        <v>87.18</v>
      </c>
    </row>
    <row r="66" customFormat="false" ht="15" hidden="false" customHeight="false" outlineLevel="0" collapsed="false">
      <c r="A66" s="4" t="n">
        <v>10412</v>
      </c>
      <c r="B66" s="4" t="s">
        <v>293</v>
      </c>
      <c r="C66" s="4" t="s">
        <v>155</v>
      </c>
      <c r="D66" s="4" t="s">
        <v>101</v>
      </c>
      <c r="E66" s="4" t="s">
        <v>160</v>
      </c>
      <c r="F66" s="4" t="n">
        <v>3</v>
      </c>
      <c r="G66" s="4" t="s">
        <v>294</v>
      </c>
      <c r="H66" s="4" t="s">
        <v>54</v>
      </c>
      <c r="I66" s="4" t="s">
        <v>295</v>
      </c>
      <c r="J66" s="6" t="n">
        <f aca="false">IFERROR(DATEVALUE(B66),"")</f>
        <v>45602</v>
      </c>
      <c r="K66" s="4" t="str">
        <f aca="false">IF(A66="","",PROPER(TRIM(C66)))</f>
        <v>South</v>
      </c>
      <c r="L66" s="4" t="str">
        <f aca="false">IF(A66="","",PROPER(TRIM(D66)))</f>
        <v>Accessories</v>
      </c>
      <c r="M66" s="4" t="n">
        <f aca="false">IFERROR(VALUE(F66),0)</f>
        <v>3</v>
      </c>
      <c r="N66" s="7" t="n">
        <f aca="false">IFERROR(VALUE(SUBSTITUTE(G66,"$","")),0)</f>
        <v>26.64</v>
      </c>
      <c r="O66" s="4" t="n">
        <f aca="false">IF(A66="",0,IF(COUNTIF($A$2:A66,A66)&gt;1,1,0))</f>
        <v>0</v>
      </c>
      <c r="P66" s="4" t="n">
        <f aca="false">IF(AND(A66&lt;&gt;"",J66&lt;&gt;"",M66&gt;0,N66&gt;0,O66=0),1,0)</f>
        <v>1</v>
      </c>
      <c r="Q66" s="7" t="n">
        <f aca="false">IF(P66=1,M66*N66,0)</f>
        <v>79.92</v>
      </c>
    </row>
    <row r="67" customFormat="false" ht="15" hidden="false" customHeight="false" outlineLevel="0" collapsed="false">
      <c r="A67" s="4" t="n">
        <v>10099</v>
      </c>
      <c r="B67" s="4" t="s">
        <v>296</v>
      </c>
      <c r="C67" s="4" t="s">
        <v>57</v>
      </c>
      <c r="D67" s="4" t="s">
        <v>64</v>
      </c>
      <c r="E67" s="4" t="s">
        <v>151</v>
      </c>
      <c r="F67" s="4" t="n">
        <v>2</v>
      </c>
      <c r="G67" s="4" t="s">
        <v>297</v>
      </c>
      <c r="H67" s="4" t="s">
        <v>73</v>
      </c>
      <c r="I67" s="4" t="s">
        <v>298</v>
      </c>
      <c r="J67" s="6" t="n">
        <f aca="false">IFERROR(DATEVALUE(B67),"")</f>
        <v>45400</v>
      </c>
      <c r="K67" s="4" t="str">
        <f aca="false">IF(A67="","",PROPER(TRIM(C67)))</f>
        <v>West</v>
      </c>
      <c r="L67" s="4" t="str">
        <f aca="false">IF(A67="","",PROPER(TRIM(D67)))</f>
        <v>Footwear</v>
      </c>
      <c r="M67" s="4" t="n">
        <f aca="false">IFERROR(VALUE(F67),0)</f>
        <v>2</v>
      </c>
      <c r="N67" s="7" t="n">
        <f aca="false">IFERROR(VALUE(SUBSTITUTE(G67,"$","")),0)</f>
        <v>166.18</v>
      </c>
      <c r="O67" s="4" t="n">
        <f aca="false">IF(A67="",0,IF(COUNTIF($A$2:A67,A67)&gt;1,1,0))</f>
        <v>0</v>
      </c>
      <c r="P67" s="4" t="n">
        <f aca="false">IF(AND(A67&lt;&gt;"",J67&lt;&gt;"",M67&gt;0,N67&gt;0,O67=0),1,0)</f>
        <v>1</v>
      </c>
      <c r="Q67" s="7" t="n">
        <f aca="false">IF(P67=1,M67*N67,0)</f>
        <v>332.36</v>
      </c>
    </row>
    <row r="68" customFormat="false" ht="15" hidden="false" customHeight="false" outlineLevel="0" collapsed="false">
      <c r="A68" s="4" t="n">
        <v>10472</v>
      </c>
      <c r="B68" s="4" t="s">
        <v>299</v>
      </c>
      <c r="C68" s="4" t="s">
        <v>50</v>
      </c>
      <c r="D68" s="4" t="s">
        <v>171</v>
      </c>
      <c r="E68" s="4" t="s">
        <v>251</v>
      </c>
      <c r="F68" s="4" t="n">
        <v>5</v>
      </c>
      <c r="G68" s="4" t="s">
        <v>300</v>
      </c>
      <c r="H68" s="4" t="s">
        <v>73</v>
      </c>
      <c r="I68" s="4" t="s">
        <v>301</v>
      </c>
      <c r="J68" s="6" t="n">
        <f aca="false">IFERROR(DATEVALUE(B68),"")</f>
        <v>45559</v>
      </c>
      <c r="K68" s="4" t="str">
        <f aca="false">IF(A68="","",PROPER(TRIM(C68)))</f>
        <v>Midwest</v>
      </c>
      <c r="L68" s="4" t="str">
        <f aca="false">IF(A68="","",PROPER(TRIM(D68)))</f>
        <v>Camping Gear</v>
      </c>
      <c r="M68" s="4" t="n">
        <f aca="false">IFERROR(VALUE(F68),0)</f>
        <v>5</v>
      </c>
      <c r="N68" s="7" t="n">
        <f aca="false">IFERROR(VALUE(SUBSTITUTE(G68,"$","")),0)</f>
        <v>74.94</v>
      </c>
      <c r="O68" s="4" t="n">
        <f aca="false">IF(A68="",0,IF(COUNTIF($A$2:A68,A68)&gt;1,1,0))</f>
        <v>0</v>
      </c>
      <c r="P68" s="4" t="n">
        <f aca="false">IF(AND(A68&lt;&gt;"",J68&lt;&gt;"",M68&gt;0,N68&gt;0,O68=0),1,0)</f>
        <v>1</v>
      </c>
      <c r="Q68" s="7" t="n">
        <f aca="false">IF(P68=1,M68*N68,0)</f>
        <v>374.7</v>
      </c>
    </row>
    <row r="69" customFormat="false" ht="15" hidden="false" customHeight="false" outlineLevel="0" collapsed="false">
      <c r="A69" s="4" t="n">
        <v>10149</v>
      </c>
      <c r="B69" s="4" t="s">
        <v>302</v>
      </c>
      <c r="C69" s="4" t="s">
        <v>155</v>
      </c>
      <c r="D69" s="4" t="s">
        <v>217</v>
      </c>
      <c r="E69" s="4" t="s">
        <v>116</v>
      </c>
      <c r="F69" s="4" t="n">
        <v>2</v>
      </c>
      <c r="G69" s="4" t="s">
        <v>303</v>
      </c>
      <c r="H69" s="4" t="s">
        <v>54</v>
      </c>
      <c r="I69" s="4" t="s">
        <v>304</v>
      </c>
      <c r="J69" s="6" t="n">
        <f aca="false">IFERROR(DATEVALUE(B69),"")</f>
        <v>45296</v>
      </c>
      <c r="K69" s="4" t="str">
        <f aca="false">IF(A69="","",PROPER(TRIM(C69)))</f>
        <v>South</v>
      </c>
      <c r="L69" s="4" t="str">
        <f aca="false">IF(A69="","",PROPER(TRIM(D69)))</f>
        <v>Apparel</v>
      </c>
      <c r="M69" s="4" t="n">
        <f aca="false">IFERROR(VALUE(F69),0)</f>
        <v>2</v>
      </c>
      <c r="N69" s="7" t="n">
        <f aca="false">IFERROR(VALUE(SUBSTITUTE(G69,"$","")),0)</f>
        <v>78.23</v>
      </c>
      <c r="O69" s="4" t="n">
        <f aca="false">IF(A69="",0,IF(COUNTIF($A$2:A69,A69)&gt;1,1,0))</f>
        <v>0</v>
      </c>
      <c r="P69" s="4" t="n">
        <f aca="false">IF(AND(A69&lt;&gt;"",J69&lt;&gt;"",M69&gt;0,N69&gt;0,O69=0),1,0)</f>
        <v>1</v>
      </c>
      <c r="Q69" s="7" t="n">
        <f aca="false">IF(P69=1,M69*N69,0)</f>
        <v>156.46</v>
      </c>
    </row>
    <row r="70" customFormat="false" ht="15" hidden="false" customHeight="false" outlineLevel="0" collapsed="false">
      <c r="A70" s="4" t="n">
        <v>10556</v>
      </c>
      <c r="B70" s="4" t="s">
        <v>305</v>
      </c>
      <c r="C70" s="4" t="s">
        <v>93</v>
      </c>
      <c r="D70" s="4" t="s">
        <v>76</v>
      </c>
      <c r="E70" s="4" t="s">
        <v>77</v>
      </c>
      <c r="F70" s="4" t="n">
        <v>2</v>
      </c>
      <c r="G70" s="4" t="s">
        <v>306</v>
      </c>
      <c r="H70" s="4" t="s">
        <v>73</v>
      </c>
      <c r="I70" s="4" t="s">
        <v>307</v>
      </c>
      <c r="J70" s="6" t="n">
        <f aca="false">IFERROR(DATEVALUE(B70),"")</f>
        <v>45441</v>
      </c>
      <c r="K70" s="4" t="str">
        <f aca="false">IF(A70="","",PROPER(TRIM(C70)))</f>
        <v>West</v>
      </c>
      <c r="L70" s="4" t="str">
        <f aca="false">IF(A70="","",PROPER(TRIM(D70)))</f>
        <v>Footwear</v>
      </c>
      <c r="M70" s="4" t="n">
        <f aca="false">IFERROR(VALUE(F70),0)</f>
        <v>2</v>
      </c>
      <c r="N70" s="7" t="n">
        <f aca="false">IFERROR(VALUE(SUBSTITUTE(G70,"$","")),0)</f>
        <v>128.62</v>
      </c>
      <c r="O70" s="4" t="n">
        <f aca="false">IF(A70="",0,IF(COUNTIF($A$2:A70,A70)&gt;1,1,0))</f>
        <v>0</v>
      </c>
      <c r="P70" s="4" t="n">
        <f aca="false">IF(AND(A70&lt;&gt;"",J70&lt;&gt;"",M70&gt;0,N70&gt;0,O70=0),1,0)</f>
        <v>1</v>
      </c>
      <c r="Q70" s="7" t="n">
        <f aca="false">IF(P70=1,M70*N70,0)</f>
        <v>257.24</v>
      </c>
    </row>
    <row r="71" customFormat="false" ht="15" hidden="false" customHeight="false" outlineLevel="0" collapsed="false">
      <c r="A71" s="4" t="n">
        <v>10073</v>
      </c>
      <c r="B71" s="4" t="s">
        <v>308</v>
      </c>
      <c r="C71" s="4" t="s">
        <v>93</v>
      </c>
      <c r="D71" s="4" t="s">
        <v>129</v>
      </c>
      <c r="E71" s="4" t="s">
        <v>125</v>
      </c>
      <c r="F71" s="4" t="n">
        <v>1</v>
      </c>
      <c r="G71" s="4" t="s">
        <v>309</v>
      </c>
      <c r="H71" s="4" t="s">
        <v>54</v>
      </c>
      <c r="I71" s="4" t="s">
        <v>310</v>
      </c>
      <c r="J71" s="6" t="n">
        <f aca="false">IFERROR(DATEVALUE(B71),"")</f>
        <v>45425</v>
      </c>
      <c r="K71" s="4" t="str">
        <f aca="false">IF(A71="","",PROPER(TRIM(C71)))</f>
        <v>West</v>
      </c>
      <c r="L71" s="4" t="str">
        <f aca="false">IF(A71="","",PROPER(TRIM(D71)))</f>
        <v>Climbing Gear</v>
      </c>
      <c r="M71" s="4" t="n">
        <f aca="false">IFERROR(VALUE(F71),0)</f>
        <v>1</v>
      </c>
      <c r="N71" s="7" t="n">
        <f aca="false">IFERROR(VALUE(SUBSTITUTE(G71,"$","")),0)</f>
        <v>86.46</v>
      </c>
      <c r="O71" s="4" t="n">
        <f aca="false">IF(A71="",0,IF(COUNTIF($A$2:A71,A71)&gt;1,1,0))</f>
        <v>0</v>
      </c>
      <c r="P71" s="4" t="n">
        <f aca="false">IF(AND(A71&lt;&gt;"",J71&lt;&gt;"",M71&gt;0,N71&gt;0,O71=0),1,0)</f>
        <v>1</v>
      </c>
      <c r="Q71" s="7" t="n">
        <f aca="false">IF(P71=1,M71*N71,0)</f>
        <v>86.46</v>
      </c>
    </row>
    <row r="72" customFormat="false" ht="15" hidden="false" customHeight="false" outlineLevel="0" collapsed="false">
      <c r="A72" s="4" t="n">
        <v>10174</v>
      </c>
      <c r="B72" s="4" t="s">
        <v>311</v>
      </c>
      <c r="C72" s="4" t="s">
        <v>80</v>
      </c>
      <c r="D72" s="4" t="s">
        <v>58</v>
      </c>
      <c r="E72" s="4" t="s">
        <v>94</v>
      </c>
      <c r="F72" s="4" t="n">
        <v>3</v>
      </c>
      <c r="G72" s="4" t="s">
        <v>312</v>
      </c>
      <c r="H72" s="4" t="s">
        <v>73</v>
      </c>
      <c r="I72" s="4" t="s">
        <v>313</v>
      </c>
      <c r="J72" s="6" t="n">
        <f aca="false">IFERROR(DATEVALUE(B72),"")</f>
        <v>45450</v>
      </c>
      <c r="K72" s="4" t="str">
        <f aca="false">IF(A72="","",PROPER(TRIM(C72)))</f>
        <v>South</v>
      </c>
      <c r="L72" s="4" t="str">
        <f aca="false">IF(A72="","",PROPER(TRIM(D72)))</f>
        <v>Climbing Gear</v>
      </c>
      <c r="M72" s="4" t="n">
        <f aca="false">IFERROR(VALUE(F72),0)</f>
        <v>3</v>
      </c>
      <c r="N72" s="7" t="n">
        <f aca="false">IFERROR(VALUE(SUBSTITUTE(G72,"$","")),0)</f>
        <v>171.07</v>
      </c>
      <c r="O72" s="4" t="n">
        <f aca="false">IF(A72="",0,IF(COUNTIF($A$2:A72,A72)&gt;1,1,0))</f>
        <v>0</v>
      </c>
      <c r="P72" s="4" t="n">
        <f aca="false">IF(AND(A72&lt;&gt;"",J72&lt;&gt;"",M72&gt;0,N72&gt;0,O72=0),1,0)</f>
        <v>1</v>
      </c>
      <c r="Q72" s="7" t="n">
        <f aca="false">IF(P72=1,M72*N72,0)</f>
        <v>513.21</v>
      </c>
    </row>
    <row r="73" customFormat="false" ht="15" hidden="false" customHeight="false" outlineLevel="0" collapsed="false">
      <c r="A73" s="4" t="n">
        <v>10533</v>
      </c>
      <c r="B73" s="4" t="s">
        <v>314</v>
      </c>
      <c r="C73" s="4" t="s">
        <v>315</v>
      </c>
      <c r="D73" s="4" t="s">
        <v>179</v>
      </c>
      <c r="E73" s="4" t="s">
        <v>59</v>
      </c>
      <c r="F73" s="4" t="n">
        <v>1</v>
      </c>
      <c r="G73" s="4" t="s">
        <v>316</v>
      </c>
      <c r="H73" s="4" t="s">
        <v>47</v>
      </c>
      <c r="I73" s="4" t="s">
        <v>298</v>
      </c>
      <c r="J73" s="6" t="n">
        <f aca="false">IFERROR(DATEVALUE(B73),"")</f>
        <v>45446</v>
      </c>
      <c r="K73" s="4" t="str">
        <f aca="false">IF(A73="","",PROPER(TRIM(C73)))</f>
        <v>South</v>
      </c>
      <c r="L73" s="4" t="str">
        <f aca="false">IF(A73="","",PROPER(TRIM(D73)))</f>
        <v>Climbing Gear</v>
      </c>
      <c r="M73" s="4" t="n">
        <f aca="false">IFERROR(VALUE(F73),0)</f>
        <v>1</v>
      </c>
      <c r="N73" s="7" t="n">
        <f aca="false">IFERROR(VALUE(SUBSTITUTE(G73,"$","")),0)</f>
        <v>38.57</v>
      </c>
      <c r="O73" s="4" t="n">
        <f aca="false">IF(A73="",0,IF(COUNTIF($A$2:A73,A73)&gt;1,1,0))</f>
        <v>0</v>
      </c>
      <c r="P73" s="4" t="n">
        <f aca="false">IF(AND(A73&lt;&gt;"",J73&lt;&gt;"",M73&gt;0,N73&gt;0,O73=0),1,0)</f>
        <v>1</v>
      </c>
      <c r="Q73" s="7" t="n">
        <f aca="false">IF(P73=1,M73*N73,0)</f>
        <v>38.57</v>
      </c>
    </row>
    <row r="74" customFormat="false" ht="15" hidden="false" customHeight="false" outlineLevel="0" collapsed="false">
      <c r="A74" s="4" t="n">
        <v>10171</v>
      </c>
      <c r="B74" s="4" t="s">
        <v>317</v>
      </c>
      <c r="C74" s="4" t="s">
        <v>155</v>
      </c>
      <c r="D74" s="4" t="s">
        <v>202</v>
      </c>
      <c r="E74" s="4" t="s">
        <v>251</v>
      </c>
      <c r="F74" s="4" t="n">
        <v>1</v>
      </c>
      <c r="G74" s="4" t="s">
        <v>318</v>
      </c>
      <c r="H74" s="4" t="s">
        <v>54</v>
      </c>
      <c r="I74" s="4" t="s">
        <v>319</v>
      </c>
      <c r="J74" s="6" t="n">
        <f aca="false">IFERROR(DATEVALUE(B74),"")</f>
        <v>45640</v>
      </c>
      <c r="K74" s="4" t="str">
        <f aca="false">IF(A74="","",PROPER(TRIM(C74)))</f>
        <v>South</v>
      </c>
      <c r="L74" s="4" t="str">
        <f aca="false">IF(A74="","",PROPER(TRIM(D74)))</f>
        <v>Camping Gear</v>
      </c>
      <c r="M74" s="4" t="n">
        <f aca="false">IFERROR(VALUE(F74),0)</f>
        <v>1</v>
      </c>
      <c r="N74" s="7" t="n">
        <f aca="false">IFERROR(VALUE(SUBSTITUTE(G74,"$","")),0)</f>
        <v>80.84</v>
      </c>
      <c r="O74" s="4" t="n">
        <f aca="false">IF(A74="",0,IF(COUNTIF($A$2:A74,A74)&gt;1,1,0))</f>
        <v>0</v>
      </c>
      <c r="P74" s="4" t="n">
        <f aca="false">IF(AND(A74&lt;&gt;"",J74&lt;&gt;"",M74&gt;0,N74&gt;0,O74=0),1,0)</f>
        <v>1</v>
      </c>
      <c r="Q74" s="7" t="n">
        <f aca="false">IF(P74=1,M74*N74,0)</f>
        <v>80.84</v>
      </c>
    </row>
    <row r="75" customFormat="false" ht="15" hidden="false" customHeight="false" outlineLevel="0" collapsed="false">
      <c r="A75" s="4" t="n">
        <v>10299</v>
      </c>
      <c r="B75" s="4" t="s">
        <v>320</v>
      </c>
      <c r="C75" s="4" t="s">
        <v>321</v>
      </c>
      <c r="D75" s="4" t="s">
        <v>217</v>
      </c>
      <c r="E75" s="4" t="s">
        <v>89</v>
      </c>
      <c r="F75" s="4" t="n">
        <v>1</v>
      </c>
      <c r="G75" s="4" t="s">
        <v>322</v>
      </c>
      <c r="H75" s="4" t="s">
        <v>73</v>
      </c>
      <c r="I75" s="4" t="s">
        <v>323</v>
      </c>
      <c r="J75" s="6" t="n">
        <f aca="false">IFERROR(DATEVALUE(B75),"")</f>
        <v>45761</v>
      </c>
      <c r="K75" s="4" t="str">
        <f aca="false">IF(A75="","",PROPER(TRIM(C75)))</f>
        <v>West</v>
      </c>
      <c r="L75" s="4" t="str">
        <f aca="false">IF(A75="","",PROPER(TRIM(D75)))</f>
        <v>Apparel</v>
      </c>
      <c r="M75" s="4" t="n">
        <f aca="false">IFERROR(VALUE(F75),0)</f>
        <v>1</v>
      </c>
      <c r="N75" s="7" t="n">
        <f aca="false">IFERROR(VALUE(SUBSTITUTE(G75,"$","")),0)</f>
        <v>54.23</v>
      </c>
      <c r="O75" s="4" t="n">
        <f aca="false">IF(A75="",0,IF(COUNTIF($A$2:A75,A75)&gt;1,1,0))</f>
        <v>0</v>
      </c>
      <c r="P75" s="4" t="n">
        <f aca="false">IF(AND(A75&lt;&gt;"",J75&lt;&gt;"",M75&gt;0,N75&gt;0,O75=0),1,0)</f>
        <v>1</v>
      </c>
      <c r="Q75" s="7" t="n">
        <f aca="false">IF(P75=1,M75*N75,0)</f>
        <v>54.23</v>
      </c>
    </row>
    <row r="76" customFormat="false" ht="15" hidden="false" customHeight="false" outlineLevel="0" collapsed="false">
      <c r="A76" s="4" t="n">
        <v>10244</v>
      </c>
      <c r="B76" s="4" t="s">
        <v>136</v>
      </c>
      <c r="C76" s="4" t="s">
        <v>69</v>
      </c>
      <c r="D76" s="4" t="s">
        <v>58</v>
      </c>
      <c r="E76" s="4" t="s">
        <v>188</v>
      </c>
      <c r="F76" s="4" t="n">
        <v>2</v>
      </c>
      <c r="G76" s="4" t="s">
        <v>324</v>
      </c>
      <c r="H76" s="4" t="s">
        <v>54</v>
      </c>
      <c r="I76" s="4" t="s">
        <v>55</v>
      </c>
      <c r="J76" s="6" t="str">
        <f aca="false">IFERROR(DATEVALUE(B76),"")</f>
        <v/>
      </c>
      <c r="K76" s="4" t="str">
        <f aca="false">IF(A76="","",PROPER(TRIM(C76)))</f>
        <v>East</v>
      </c>
      <c r="L76" s="4" t="str">
        <f aca="false">IF(A76="","",PROPER(TRIM(D76)))</f>
        <v>Climbing Gear</v>
      </c>
      <c r="M76" s="4" t="n">
        <f aca="false">IFERROR(VALUE(F76),0)</f>
        <v>2</v>
      </c>
      <c r="N76" s="7" t="n">
        <f aca="false">IFERROR(VALUE(SUBSTITUTE(G76,"$","")),0)</f>
        <v>18.15</v>
      </c>
      <c r="O76" s="4" t="n">
        <f aca="false">IF(A76="",0,IF(COUNTIF($A$2:A76,A76)&gt;1,1,0))</f>
        <v>0</v>
      </c>
      <c r="P76" s="4" t="n">
        <f aca="false">IF(AND(A76&lt;&gt;"",J76&lt;&gt;"",M76&gt;0,N76&gt;0,O76=0),1,0)</f>
        <v>0</v>
      </c>
      <c r="Q76" s="7" t="n">
        <f aca="false">IF(P76=1,M76*N76,0)</f>
        <v>0</v>
      </c>
    </row>
    <row r="77" customFormat="false" ht="15" hidden="false" customHeight="false" outlineLevel="0" collapsed="false">
      <c r="A77" s="4" t="n">
        <v>10097</v>
      </c>
      <c r="B77" s="4" t="s">
        <v>325</v>
      </c>
      <c r="C77" s="4" t="s">
        <v>149</v>
      </c>
      <c r="D77" s="4" t="s">
        <v>164</v>
      </c>
      <c r="E77" s="4" t="s">
        <v>116</v>
      </c>
      <c r="F77" s="4" t="n">
        <v>3</v>
      </c>
      <c r="G77" s="4" t="s">
        <v>326</v>
      </c>
      <c r="H77" s="4" t="s">
        <v>54</v>
      </c>
      <c r="I77" s="4" t="s">
        <v>327</v>
      </c>
      <c r="J77" s="6" t="n">
        <f aca="false">IFERROR(DATEVALUE(B77),"")</f>
        <v>45723</v>
      </c>
      <c r="K77" s="4" t="str">
        <f aca="false">IF(A77="","",PROPER(TRIM(C77)))</f>
        <v>East</v>
      </c>
      <c r="L77" s="4" t="str">
        <f aca="false">IF(A77="","",PROPER(TRIM(D77)))</f>
        <v>Apparel</v>
      </c>
      <c r="M77" s="4" t="n">
        <f aca="false">IFERROR(VALUE(F77),0)</f>
        <v>3</v>
      </c>
      <c r="N77" s="7" t="n">
        <f aca="false">IFERROR(VALUE(SUBSTITUTE(G77,"$","")),0)</f>
        <v>75.26</v>
      </c>
      <c r="O77" s="4" t="n">
        <f aca="false">IF(A77="",0,IF(COUNTIF($A$2:A77,A77)&gt;1,1,0))</f>
        <v>0</v>
      </c>
      <c r="P77" s="4" t="n">
        <f aca="false">IF(AND(A77&lt;&gt;"",J77&lt;&gt;"",M77&gt;0,N77&gt;0,O77=0),1,0)</f>
        <v>1</v>
      </c>
      <c r="Q77" s="7" t="n">
        <f aca="false">IF(P77=1,M77*N77,0)</f>
        <v>225.78</v>
      </c>
    </row>
    <row r="78" customFormat="false" ht="15" hidden="false" customHeight="false" outlineLevel="0" collapsed="false">
      <c r="A78" s="4" t="n">
        <v>10690</v>
      </c>
      <c r="B78" s="4" t="s">
        <v>328</v>
      </c>
      <c r="C78" s="4" t="s">
        <v>224</v>
      </c>
      <c r="D78" s="4" t="s">
        <v>64</v>
      </c>
      <c r="E78" s="4" t="s">
        <v>65</v>
      </c>
      <c r="F78" s="4" t="n">
        <v>3</v>
      </c>
      <c r="G78" s="4" t="s">
        <v>329</v>
      </c>
      <c r="H78" s="4" t="s">
        <v>73</v>
      </c>
      <c r="I78" s="4" t="s">
        <v>330</v>
      </c>
      <c r="J78" s="6" t="n">
        <f aca="false">IFERROR(DATEVALUE(B78),"")</f>
        <v>45389</v>
      </c>
      <c r="K78" s="4" t="str">
        <f aca="false">IF(A78="","",PROPER(TRIM(C78)))</f>
        <v>East</v>
      </c>
      <c r="L78" s="4" t="str">
        <f aca="false">IF(A78="","",PROPER(TRIM(D78)))</f>
        <v>Footwear</v>
      </c>
      <c r="M78" s="4" t="n">
        <f aca="false">IFERROR(VALUE(F78),0)</f>
        <v>3</v>
      </c>
      <c r="N78" s="7" t="n">
        <f aca="false">IFERROR(VALUE(SUBSTITUTE(G78,"$","")),0)</f>
        <v>61.95</v>
      </c>
      <c r="O78" s="4" t="n">
        <f aca="false">IF(A78="",0,IF(COUNTIF($A$2:A78,A78)&gt;1,1,0))</f>
        <v>0</v>
      </c>
      <c r="P78" s="4" t="n">
        <f aca="false">IF(AND(A78&lt;&gt;"",J78&lt;&gt;"",M78&gt;0,N78&gt;0,O78=0),1,0)</f>
        <v>1</v>
      </c>
      <c r="Q78" s="7" t="n">
        <f aca="false">IF(P78=1,M78*N78,0)</f>
        <v>185.85</v>
      </c>
    </row>
    <row r="79" customFormat="false" ht="15" hidden="false" customHeight="false" outlineLevel="0" collapsed="false">
      <c r="A79" s="4" t="n">
        <v>10511</v>
      </c>
      <c r="B79" s="4" t="s">
        <v>331</v>
      </c>
      <c r="C79" s="4" t="s">
        <v>332</v>
      </c>
      <c r="D79" s="4" t="s">
        <v>333</v>
      </c>
      <c r="E79" s="4" t="s">
        <v>45</v>
      </c>
      <c r="F79" s="4" t="n">
        <v>3</v>
      </c>
      <c r="G79" s="4" t="s">
        <v>334</v>
      </c>
      <c r="H79" s="4" t="s">
        <v>54</v>
      </c>
      <c r="I79" s="4" t="s">
        <v>335</v>
      </c>
      <c r="J79" s="6" t="n">
        <f aca="false">IFERROR(DATEVALUE(B79),"")</f>
        <v>45598</v>
      </c>
      <c r="K79" s="4" t="str">
        <f aca="false">IF(A79="","",PROPER(TRIM(C79)))</f>
        <v>West</v>
      </c>
      <c r="L79" s="4" t="str">
        <f aca="false">IF(A79="","",PROPER(TRIM(D79)))</f>
        <v>Accessories</v>
      </c>
      <c r="M79" s="4" t="n">
        <f aca="false">IFERROR(VALUE(F79),0)</f>
        <v>3</v>
      </c>
      <c r="N79" s="7" t="n">
        <f aca="false">IFERROR(VALUE(SUBSTITUTE(G79,"$","")),0)</f>
        <v>45.45</v>
      </c>
      <c r="O79" s="4" t="n">
        <f aca="false">IF(A79="",0,IF(COUNTIF($A$2:A79,A79)&gt;1,1,0))</f>
        <v>0</v>
      </c>
      <c r="P79" s="4" t="n">
        <f aca="false">IF(AND(A79&lt;&gt;"",J79&lt;&gt;"",M79&gt;0,N79&gt;0,O79=0),1,0)</f>
        <v>1</v>
      </c>
      <c r="Q79" s="7" t="n">
        <f aca="false">IF(P79=1,M79*N79,0)</f>
        <v>136.35</v>
      </c>
    </row>
    <row r="80" customFormat="false" ht="15" hidden="false" customHeight="false" outlineLevel="0" collapsed="false">
      <c r="A80" s="4" t="n">
        <v>10580</v>
      </c>
      <c r="B80" s="4" t="s">
        <v>336</v>
      </c>
      <c r="C80" s="4" t="s">
        <v>69</v>
      </c>
      <c r="D80" s="4" t="s">
        <v>70</v>
      </c>
      <c r="E80" s="4" t="s">
        <v>71</v>
      </c>
      <c r="F80" s="4" t="n">
        <v>4</v>
      </c>
      <c r="G80" s="4" t="s">
        <v>337</v>
      </c>
      <c r="H80" s="4" t="s">
        <v>47</v>
      </c>
      <c r="I80" s="4" t="s">
        <v>338</v>
      </c>
      <c r="J80" s="6" t="n">
        <f aca="false">IFERROR(DATEVALUE(B80),"")</f>
        <v>45587</v>
      </c>
      <c r="K80" s="4" t="str">
        <f aca="false">IF(A80="","",PROPER(TRIM(C80)))</f>
        <v>East</v>
      </c>
      <c r="L80" s="4" t="str">
        <f aca="false">IF(A80="","",PROPER(TRIM(D80)))</f>
        <v>Camping Gear</v>
      </c>
      <c r="M80" s="4" t="n">
        <f aca="false">IFERROR(VALUE(F80),0)</f>
        <v>4</v>
      </c>
      <c r="N80" s="7" t="n">
        <f aca="false">IFERROR(VALUE(SUBSTITUTE(G80,"$","")),0)</f>
        <v>71.28</v>
      </c>
      <c r="O80" s="4" t="n">
        <f aca="false">IF(A80="",0,IF(COUNTIF($A$2:A80,A80)&gt;1,1,0))</f>
        <v>0</v>
      </c>
      <c r="P80" s="4" t="n">
        <f aca="false">IF(AND(A80&lt;&gt;"",J80&lt;&gt;"",M80&gt;0,N80&gt;0,O80=0),1,0)</f>
        <v>1</v>
      </c>
      <c r="Q80" s="7" t="n">
        <f aca="false">IF(P80=1,M80*N80,0)</f>
        <v>285.12</v>
      </c>
    </row>
    <row r="81" customFormat="false" ht="15" hidden="false" customHeight="false" outlineLevel="0" collapsed="false">
      <c r="A81" s="4" t="n">
        <v>10278</v>
      </c>
      <c r="B81" s="4" t="s">
        <v>339</v>
      </c>
      <c r="C81" s="4" t="s">
        <v>183</v>
      </c>
      <c r="D81" s="4" t="s">
        <v>129</v>
      </c>
      <c r="E81" s="4" t="s">
        <v>59</v>
      </c>
      <c r="F81" s="4" t="n">
        <v>3</v>
      </c>
      <c r="G81" s="4" t="s">
        <v>340</v>
      </c>
      <c r="H81" s="4" t="s">
        <v>73</v>
      </c>
      <c r="I81" s="4" t="s">
        <v>295</v>
      </c>
      <c r="J81" s="6" t="n">
        <f aca="false">IFERROR(DATEVALUE(B81),"")</f>
        <v>45771</v>
      </c>
      <c r="K81" s="4" t="str">
        <f aca="false">IF(A81="","",PROPER(TRIM(C81)))</f>
        <v>West</v>
      </c>
      <c r="L81" s="4" t="str">
        <f aca="false">IF(A81="","",PROPER(TRIM(D81)))</f>
        <v>Climbing Gear</v>
      </c>
      <c r="M81" s="4" t="n">
        <f aca="false">IFERROR(VALUE(F81),0)</f>
        <v>3</v>
      </c>
      <c r="N81" s="7" t="n">
        <f aca="false">IFERROR(VALUE(SUBSTITUTE(G81,"$","")),0)</f>
        <v>36.4</v>
      </c>
      <c r="O81" s="4" t="n">
        <f aca="false">IF(A81="",0,IF(COUNTIF($A$2:A81,A81)&gt;1,1,0))</f>
        <v>0</v>
      </c>
      <c r="P81" s="4" t="n">
        <f aca="false">IF(AND(A81&lt;&gt;"",J81&lt;&gt;"",M81&gt;0,N81&gt;0,O81=0),1,0)</f>
        <v>1</v>
      </c>
      <c r="Q81" s="7" t="n">
        <f aca="false">IF(P81=1,M81*N81,0)</f>
        <v>109.2</v>
      </c>
    </row>
    <row r="82" customFormat="false" ht="15" hidden="false" customHeight="false" outlineLevel="0" collapsed="false">
      <c r="A82" s="4" t="n">
        <v>10018</v>
      </c>
      <c r="B82" s="4" t="s">
        <v>341</v>
      </c>
      <c r="C82" s="4" t="s">
        <v>69</v>
      </c>
      <c r="D82" s="4" t="s">
        <v>115</v>
      </c>
      <c r="E82" s="4" t="s">
        <v>116</v>
      </c>
      <c r="F82" s="4" t="n">
        <v>1</v>
      </c>
      <c r="G82" s="4" t="s">
        <v>342</v>
      </c>
      <c r="H82" s="4" t="s">
        <v>47</v>
      </c>
      <c r="I82" s="4" t="s">
        <v>343</v>
      </c>
      <c r="J82" s="6" t="n">
        <f aca="false">IFERROR(DATEVALUE(B82),"")</f>
        <v>45491</v>
      </c>
      <c r="K82" s="4" t="str">
        <f aca="false">IF(A82="","",PROPER(TRIM(C82)))</f>
        <v>East</v>
      </c>
      <c r="L82" s="4" t="str">
        <f aca="false">IF(A82="","",PROPER(TRIM(D82)))</f>
        <v>Apparel</v>
      </c>
      <c r="M82" s="4" t="n">
        <f aca="false">IFERROR(VALUE(F82),0)</f>
        <v>1</v>
      </c>
      <c r="N82" s="7" t="n">
        <f aca="false">IFERROR(VALUE(SUBSTITUTE(G82,"$","")),0)</f>
        <v>80.25</v>
      </c>
      <c r="O82" s="4" t="n">
        <f aca="false">IF(A82="",0,IF(COUNTIF($A$2:A82,A82)&gt;1,1,0))</f>
        <v>0</v>
      </c>
      <c r="P82" s="4" t="n">
        <f aca="false">IF(AND(A82&lt;&gt;"",J82&lt;&gt;"",M82&gt;0,N82&gt;0,O82=0),1,0)</f>
        <v>1</v>
      </c>
      <c r="Q82" s="7" t="n">
        <f aca="false">IF(P82=1,M82*N82,0)</f>
        <v>80.25</v>
      </c>
    </row>
    <row r="83" customFormat="false" ht="15" hidden="false" customHeight="false" outlineLevel="0" collapsed="false">
      <c r="A83" s="4" t="n">
        <v>10152</v>
      </c>
      <c r="B83" s="4" t="s">
        <v>344</v>
      </c>
      <c r="C83" s="4" t="s">
        <v>178</v>
      </c>
      <c r="D83" s="4" t="s">
        <v>58</v>
      </c>
      <c r="E83" s="4" t="s">
        <v>125</v>
      </c>
      <c r="F83" s="4" t="n">
        <v>4</v>
      </c>
      <c r="G83" s="4" t="s">
        <v>345</v>
      </c>
      <c r="H83" s="4" t="s">
        <v>73</v>
      </c>
      <c r="I83" s="4" t="s">
        <v>346</v>
      </c>
      <c r="J83" s="6" t="n">
        <f aca="false">IFERROR(DATEVALUE(B83),"")</f>
        <v>45554</v>
      </c>
      <c r="K83" s="4" t="str">
        <f aca="false">IF(A83="","",PROPER(TRIM(C83)))</f>
        <v>South</v>
      </c>
      <c r="L83" s="4" t="str">
        <f aca="false">IF(A83="","",PROPER(TRIM(D83)))</f>
        <v>Climbing Gear</v>
      </c>
      <c r="M83" s="4" t="n">
        <f aca="false">IFERROR(VALUE(F83),0)</f>
        <v>4</v>
      </c>
      <c r="N83" s="7" t="n">
        <f aca="false">IFERROR(VALUE(SUBSTITUTE(G83,"$","")),0)</f>
        <v>86.1</v>
      </c>
      <c r="O83" s="4" t="n">
        <f aca="false">IF(A83="",0,IF(COUNTIF($A$2:A83,A83)&gt;1,1,0))</f>
        <v>0</v>
      </c>
      <c r="P83" s="4" t="n">
        <f aca="false">IF(AND(A83&lt;&gt;"",J83&lt;&gt;"",M83&gt;0,N83&gt;0,O83=0),1,0)</f>
        <v>1</v>
      </c>
      <c r="Q83" s="7" t="n">
        <f aca="false">IF(P83=1,M83*N83,0)</f>
        <v>344.4</v>
      </c>
    </row>
    <row r="84" customFormat="false" ht="15" hidden="false" customHeight="false" outlineLevel="0" collapsed="false">
      <c r="A84" s="4" t="n">
        <v>10477</v>
      </c>
      <c r="B84" s="4" t="s">
        <v>347</v>
      </c>
      <c r="C84" s="4" t="s">
        <v>229</v>
      </c>
      <c r="D84" s="4" t="s">
        <v>164</v>
      </c>
      <c r="E84" s="4" t="s">
        <v>89</v>
      </c>
      <c r="F84" s="4" t="n">
        <v>4</v>
      </c>
      <c r="G84" s="4" t="s">
        <v>348</v>
      </c>
      <c r="H84" s="4" t="s">
        <v>73</v>
      </c>
      <c r="I84" s="4" t="s">
        <v>349</v>
      </c>
      <c r="J84" s="6" t="n">
        <f aca="false">IFERROR(DATEVALUE(B84),"")</f>
        <v>45444</v>
      </c>
      <c r="K84" s="4" t="str">
        <f aca="false">IF(A84="","",PROPER(TRIM(C84)))</f>
        <v>Midwest</v>
      </c>
      <c r="L84" s="4" t="str">
        <f aca="false">IF(A84="","",PROPER(TRIM(D84)))</f>
        <v>Apparel</v>
      </c>
      <c r="M84" s="4" t="n">
        <f aca="false">IFERROR(VALUE(F84),0)</f>
        <v>4</v>
      </c>
      <c r="N84" s="7" t="n">
        <f aca="false">IFERROR(VALUE(SUBSTITUTE(G84,"$","")),0)</f>
        <v>66.94</v>
      </c>
      <c r="O84" s="4" t="n">
        <f aca="false">IF(A84="",0,IF(COUNTIF($A$2:A84,A84)&gt;1,1,0))</f>
        <v>0</v>
      </c>
      <c r="P84" s="4" t="n">
        <f aca="false">IF(AND(A84&lt;&gt;"",J84&lt;&gt;"",M84&gt;0,N84&gt;0,O84=0),1,0)</f>
        <v>1</v>
      </c>
      <c r="Q84" s="7" t="n">
        <f aca="false">IF(P84=1,M84*N84,0)</f>
        <v>267.76</v>
      </c>
    </row>
    <row r="85" customFormat="false" ht="15" hidden="false" customHeight="false" outlineLevel="0" collapsed="false">
      <c r="A85" s="4" t="n">
        <v>10386</v>
      </c>
      <c r="B85" s="4" t="s">
        <v>350</v>
      </c>
      <c r="C85" s="4" t="s">
        <v>110</v>
      </c>
      <c r="D85" s="4" t="s">
        <v>171</v>
      </c>
      <c r="E85" s="4" t="s">
        <v>251</v>
      </c>
      <c r="F85" s="4" t="n">
        <v>4</v>
      </c>
      <c r="G85" s="4" t="s">
        <v>351</v>
      </c>
      <c r="H85" s="4" t="s">
        <v>73</v>
      </c>
      <c r="I85" s="4" t="s">
        <v>352</v>
      </c>
      <c r="J85" s="6" t="n">
        <f aca="false">IFERROR(DATEVALUE(B85),"")</f>
        <v>45385</v>
      </c>
      <c r="K85" s="4" t="str">
        <f aca="false">IF(A85="","",PROPER(TRIM(C85)))</f>
        <v>Midwest</v>
      </c>
      <c r="L85" s="4" t="str">
        <f aca="false">IF(A85="","",PROPER(TRIM(D85)))</f>
        <v>Camping Gear</v>
      </c>
      <c r="M85" s="4" t="n">
        <f aca="false">IFERROR(VALUE(F85),0)</f>
        <v>4</v>
      </c>
      <c r="N85" s="7" t="n">
        <f aca="false">IFERROR(VALUE(SUBSTITUTE(G85,"$","")),0)</f>
        <v>90.77</v>
      </c>
      <c r="O85" s="4" t="n">
        <f aca="false">IF(A85="",0,IF(COUNTIF($A$2:A85,A85)&gt;1,1,0))</f>
        <v>0</v>
      </c>
      <c r="P85" s="4" t="n">
        <f aca="false">IF(AND(A85&lt;&gt;"",J85&lt;&gt;"",M85&gt;0,N85&gt;0,O85=0),1,0)</f>
        <v>1</v>
      </c>
      <c r="Q85" s="7" t="n">
        <f aca="false">IF(P85=1,M85*N85,0)</f>
        <v>363.08</v>
      </c>
    </row>
    <row r="86" customFormat="false" ht="15" hidden="false" customHeight="false" outlineLevel="0" collapsed="false">
      <c r="A86" s="4" t="n">
        <v>10747</v>
      </c>
      <c r="B86" s="4" t="s">
        <v>353</v>
      </c>
      <c r="C86" s="4" t="s">
        <v>133</v>
      </c>
      <c r="D86" s="4" t="s">
        <v>129</v>
      </c>
      <c r="E86" s="4" t="s">
        <v>125</v>
      </c>
      <c r="F86" s="4" t="n">
        <v>1</v>
      </c>
      <c r="G86" s="4" t="s">
        <v>354</v>
      </c>
      <c r="H86" s="4" t="s">
        <v>47</v>
      </c>
      <c r="I86" s="4" t="s">
        <v>355</v>
      </c>
      <c r="J86" s="6" t="n">
        <f aca="false">IFERROR(DATEVALUE(B86),"")</f>
        <v>45491</v>
      </c>
      <c r="K86" s="4" t="str">
        <f aca="false">IF(A86="","",PROPER(TRIM(C86)))</f>
        <v>East</v>
      </c>
      <c r="L86" s="4" t="str">
        <f aca="false">IF(A86="","",PROPER(TRIM(D86)))</f>
        <v>Climbing Gear</v>
      </c>
      <c r="M86" s="4" t="n">
        <f aca="false">IFERROR(VALUE(F86),0)</f>
        <v>1</v>
      </c>
      <c r="N86" s="7" t="n">
        <f aca="false">IFERROR(VALUE(SUBSTITUTE(G86,"$","")),0)</f>
        <v>87.91</v>
      </c>
      <c r="O86" s="4" t="n">
        <f aca="false">IF(A86="",0,IF(COUNTIF($A$2:A86,A86)&gt;1,1,0))</f>
        <v>0</v>
      </c>
      <c r="P86" s="4" t="n">
        <f aca="false">IF(AND(A86&lt;&gt;"",J86&lt;&gt;"",M86&gt;0,N86&gt;0,O86=0),1,0)</f>
        <v>1</v>
      </c>
      <c r="Q86" s="7" t="n">
        <f aca="false">IF(P86=1,M86*N86,0)</f>
        <v>87.91</v>
      </c>
    </row>
    <row r="87" customFormat="false" ht="15" hidden="false" customHeight="false" outlineLevel="0" collapsed="false">
      <c r="A87" s="4" t="n">
        <v>10003</v>
      </c>
      <c r="B87" s="4" t="s">
        <v>356</v>
      </c>
      <c r="C87" s="4" t="s">
        <v>110</v>
      </c>
      <c r="D87" s="4" t="s">
        <v>164</v>
      </c>
      <c r="E87" s="4" t="s">
        <v>142</v>
      </c>
      <c r="F87" s="4" t="n">
        <v>2</v>
      </c>
      <c r="G87" s="4" t="s">
        <v>357</v>
      </c>
      <c r="H87" s="4" t="s">
        <v>47</v>
      </c>
      <c r="I87" s="4" t="s">
        <v>358</v>
      </c>
      <c r="J87" s="6" t="n">
        <f aca="false">IFERROR(DATEVALUE(B87),"")</f>
        <v>45484</v>
      </c>
      <c r="K87" s="4" t="str">
        <f aca="false">IF(A87="","",PROPER(TRIM(C87)))</f>
        <v>Midwest</v>
      </c>
      <c r="L87" s="4" t="str">
        <f aca="false">IF(A87="","",PROPER(TRIM(D87)))</f>
        <v>Apparel</v>
      </c>
      <c r="M87" s="4" t="n">
        <f aca="false">IFERROR(VALUE(F87),0)</f>
        <v>2</v>
      </c>
      <c r="N87" s="7" t="n">
        <f aca="false">IFERROR(VALUE(SUBSTITUTE(G87,"$","")),0)</f>
        <v>188.16</v>
      </c>
      <c r="O87" s="4" t="n">
        <f aca="false">IF(A87="",0,IF(COUNTIF($A$2:A87,A87)&gt;1,1,0))</f>
        <v>0</v>
      </c>
      <c r="P87" s="4" t="n">
        <f aca="false">IF(AND(A87&lt;&gt;"",J87&lt;&gt;"",M87&gt;0,N87&gt;0,O87=0),1,0)</f>
        <v>1</v>
      </c>
      <c r="Q87" s="7" t="n">
        <f aca="false">IF(P87=1,M87*N87,0)</f>
        <v>376.32</v>
      </c>
    </row>
    <row r="88" customFormat="false" ht="15" hidden="false" customHeight="false" outlineLevel="0" collapsed="false">
      <c r="A88" s="4" t="n">
        <v>10661</v>
      </c>
      <c r="B88" s="4" t="s">
        <v>293</v>
      </c>
      <c r="C88" s="4" t="s">
        <v>50</v>
      </c>
      <c r="D88" s="4" t="s">
        <v>217</v>
      </c>
      <c r="E88" s="4" t="s">
        <v>89</v>
      </c>
      <c r="F88" s="4" t="n">
        <v>1</v>
      </c>
      <c r="G88" s="4" t="s">
        <v>359</v>
      </c>
      <c r="H88" s="4" t="s">
        <v>73</v>
      </c>
      <c r="I88" s="4" t="s">
        <v>360</v>
      </c>
      <c r="J88" s="6" t="n">
        <f aca="false">IFERROR(DATEVALUE(B88),"")</f>
        <v>45602</v>
      </c>
      <c r="K88" s="4" t="str">
        <f aca="false">IF(A88="","",PROPER(TRIM(C88)))</f>
        <v>Midwest</v>
      </c>
      <c r="L88" s="4" t="str">
        <f aca="false">IF(A88="","",PROPER(TRIM(D88)))</f>
        <v>Apparel</v>
      </c>
      <c r="M88" s="4" t="n">
        <f aca="false">IFERROR(VALUE(F88),0)</f>
        <v>1</v>
      </c>
      <c r="N88" s="7" t="n">
        <f aca="false">IFERROR(VALUE(SUBSTITUTE(G88,"$","")),0)</f>
        <v>61.24</v>
      </c>
      <c r="O88" s="4" t="n">
        <f aca="false">IF(A88="",0,IF(COUNTIF($A$2:A88,A88)&gt;1,1,0))</f>
        <v>0</v>
      </c>
      <c r="P88" s="4" t="n">
        <f aca="false">IF(AND(A88&lt;&gt;"",J88&lt;&gt;"",M88&gt;0,N88&gt;0,O88=0),1,0)</f>
        <v>1</v>
      </c>
      <c r="Q88" s="7" t="n">
        <f aca="false">IF(P88=1,M88*N88,0)</f>
        <v>61.24</v>
      </c>
    </row>
    <row r="89" customFormat="false" ht="15" hidden="false" customHeight="false" outlineLevel="0" collapsed="false">
      <c r="A89" s="4" t="n">
        <v>10280</v>
      </c>
      <c r="B89" s="4" t="s">
        <v>361</v>
      </c>
      <c r="C89" s="4" t="s">
        <v>315</v>
      </c>
      <c r="D89" s="4" t="s">
        <v>64</v>
      </c>
      <c r="E89" s="4" t="s">
        <v>111</v>
      </c>
      <c r="F89" s="4" t="n">
        <v>1</v>
      </c>
      <c r="G89" s="4" t="s">
        <v>362</v>
      </c>
      <c r="H89" s="4" t="s">
        <v>47</v>
      </c>
      <c r="I89" s="4" t="s">
        <v>319</v>
      </c>
      <c r="J89" s="6" t="n">
        <f aca="false">IFERROR(DATEVALUE(B89),"")</f>
        <v>45811</v>
      </c>
      <c r="K89" s="4" t="str">
        <f aca="false">IF(A89="","",PROPER(TRIM(C89)))</f>
        <v>South</v>
      </c>
      <c r="L89" s="4" t="str">
        <f aca="false">IF(A89="","",PROPER(TRIM(D89)))</f>
        <v>Footwear</v>
      </c>
      <c r="M89" s="4" t="n">
        <f aca="false">IFERROR(VALUE(F89),0)</f>
        <v>1</v>
      </c>
      <c r="N89" s="7" t="n">
        <f aca="false">IFERROR(VALUE(SUBSTITUTE(G89,"$","")),0)</f>
        <v>81.53</v>
      </c>
      <c r="O89" s="4" t="n">
        <f aca="false">IF(A89="",0,IF(COUNTIF($A$2:A89,A89)&gt;1,1,0))</f>
        <v>0</v>
      </c>
      <c r="P89" s="4" t="n">
        <f aca="false">IF(AND(A89&lt;&gt;"",J89&lt;&gt;"",M89&gt;0,N89&gt;0,O89=0),1,0)</f>
        <v>1</v>
      </c>
      <c r="Q89" s="7" t="n">
        <f aca="false">IF(P89=1,M89*N89,0)</f>
        <v>81.53</v>
      </c>
    </row>
    <row r="90" customFormat="false" ht="15" hidden="false" customHeight="false" outlineLevel="0" collapsed="false">
      <c r="A90" s="4" t="n">
        <v>10160</v>
      </c>
      <c r="B90" s="4" t="s">
        <v>363</v>
      </c>
      <c r="C90" s="4" t="s">
        <v>105</v>
      </c>
      <c r="D90" s="4" t="s">
        <v>51</v>
      </c>
      <c r="E90" s="4" t="s">
        <v>52</v>
      </c>
      <c r="F90" s="4" t="n">
        <v>2</v>
      </c>
      <c r="G90" s="4" t="s">
        <v>364</v>
      </c>
      <c r="H90" s="4" t="s">
        <v>73</v>
      </c>
      <c r="I90" s="4" t="s">
        <v>365</v>
      </c>
      <c r="J90" s="6" t="n">
        <f aca="false">IFERROR(DATEVALUE(B90),"")</f>
        <v>45758</v>
      </c>
      <c r="K90" s="4" t="str">
        <f aca="false">IF(A90="","",PROPER(TRIM(C90)))</f>
        <v>Midwest</v>
      </c>
      <c r="L90" s="4" t="str">
        <f aca="false">IF(A90="","",PROPER(TRIM(D90)))</f>
        <v>Accessories</v>
      </c>
      <c r="M90" s="4" t="n">
        <f aca="false">IFERROR(VALUE(F90),0)</f>
        <v>2</v>
      </c>
      <c r="N90" s="7" t="n">
        <f aca="false">IFERROR(VALUE(SUBSTITUTE(G90,"$","")),0)</f>
        <v>83.18</v>
      </c>
      <c r="O90" s="4" t="n">
        <f aca="false">IF(A90="",0,IF(COUNTIF($A$2:A90,A90)&gt;1,1,0))</f>
        <v>0</v>
      </c>
      <c r="P90" s="4" t="n">
        <f aca="false">IF(AND(A90&lt;&gt;"",J90&lt;&gt;"",M90&gt;0,N90&gt;0,O90=0),1,0)</f>
        <v>1</v>
      </c>
      <c r="Q90" s="7" t="n">
        <f aca="false">IF(P90=1,M90*N90,0)</f>
        <v>166.36</v>
      </c>
    </row>
    <row r="91" customFormat="false" ht="15" hidden="false" customHeight="false" outlineLevel="0" collapsed="false">
      <c r="A91" s="4" t="n">
        <v>10541</v>
      </c>
      <c r="B91" s="4" t="s">
        <v>366</v>
      </c>
      <c r="C91" s="4" t="s">
        <v>321</v>
      </c>
      <c r="D91" s="4" t="s">
        <v>101</v>
      </c>
      <c r="E91" s="4" t="s">
        <v>160</v>
      </c>
      <c r="F91" s="4" t="n">
        <v>1</v>
      </c>
      <c r="G91" s="4" t="s">
        <v>367</v>
      </c>
      <c r="H91" s="4" t="s">
        <v>47</v>
      </c>
      <c r="I91" s="4" t="s">
        <v>368</v>
      </c>
      <c r="J91" s="6" t="n">
        <f aca="false">IFERROR(DATEVALUE(B91),"")</f>
        <v>45821</v>
      </c>
      <c r="K91" s="4" t="str">
        <f aca="false">IF(A91="","",PROPER(TRIM(C91)))</f>
        <v>West</v>
      </c>
      <c r="L91" s="4" t="str">
        <f aca="false">IF(A91="","",PROPER(TRIM(D91)))</f>
        <v>Accessories</v>
      </c>
      <c r="M91" s="4" t="n">
        <f aca="false">IFERROR(VALUE(F91),0)</f>
        <v>1</v>
      </c>
      <c r="N91" s="7" t="n">
        <f aca="false">IFERROR(VALUE(SUBSTITUTE(G91,"$","")),0)</f>
        <v>27.31</v>
      </c>
      <c r="O91" s="4" t="n">
        <f aca="false">IF(A91="",0,IF(COUNTIF($A$2:A91,A91)&gt;1,1,0))</f>
        <v>0</v>
      </c>
      <c r="P91" s="4" t="n">
        <f aca="false">IF(AND(A91&lt;&gt;"",J91&lt;&gt;"",M91&gt;0,N91&gt;0,O91=0),1,0)</f>
        <v>1</v>
      </c>
      <c r="Q91" s="7" t="n">
        <f aca="false">IF(P91=1,M91*N91,0)</f>
        <v>27.31</v>
      </c>
    </row>
    <row r="92" customFormat="false" ht="15" hidden="false" customHeight="false" outlineLevel="0" collapsed="false">
      <c r="A92" s="4" t="n">
        <v>10667</v>
      </c>
      <c r="B92" s="4" t="s">
        <v>369</v>
      </c>
      <c r="C92" s="4" t="s">
        <v>69</v>
      </c>
      <c r="D92" s="4" t="s">
        <v>171</v>
      </c>
      <c r="E92" s="4" t="s">
        <v>203</v>
      </c>
      <c r="F92" s="4" t="n">
        <v>3</v>
      </c>
      <c r="G92" s="4" t="s">
        <v>370</v>
      </c>
      <c r="H92" s="4" t="s">
        <v>54</v>
      </c>
      <c r="I92" s="4" t="s">
        <v>222</v>
      </c>
      <c r="J92" s="6" t="n">
        <f aca="false">IFERROR(DATEVALUE(B92),"")</f>
        <v>45378</v>
      </c>
      <c r="K92" s="4" t="str">
        <f aca="false">IF(A92="","",PROPER(TRIM(C92)))</f>
        <v>East</v>
      </c>
      <c r="L92" s="4" t="str">
        <f aca="false">IF(A92="","",PROPER(TRIM(D92)))</f>
        <v>Camping Gear</v>
      </c>
      <c r="M92" s="4" t="n">
        <f aca="false">IFERROR(VALUE(F92),0)</f>
        <v>3</v>
      </c>
      <c r="N92" s="7" t="n">
        <f aca="false">IFERROR(VALUE(SUBSTITUTE(G92,"$","")),0)</f>
        <v>248.84</v>
      </c>
      <c r="O92" s="4" t="n">
        <f aca="false">IF(A92="",0,IF(COUNTIF($A$2:A92,A92)&gt;1,1,0))</f>
        <v>0</v>
      </c>
      <c r="P92" s="4" t="n">
        <f aca="false">IF(AND(A92&lt;&gt;"",J92&lt;&gt;"",M92&gt;0,N92&gt;0,O92=0),1,0)</f>
        <v>1</v>
      </c>
      <c r="Q92" s="7" t="n">
        <f aca="false">IF(P92=1,M92*N92,0)</f>
        <v>746.52</v>
      </c>
    </row>
    <row r="93" customFormat="false" ht="15" hidden="false" customHeight="false" outlineLevel="0" collapsed="false">
      <c r="A93" s="4" t="n">
        <v>10736</v>
      </c>
      <c r="B93" s="4" t="s">
        <v>371</v>
      </c>
      <c r="C93" s="4" t="s">
        <v>140</v>
      </c>
      <c r="D93" s="4" t="s">
        <v>230</v>
      </c>
      <c r="E93" s="4" t="s">
        <v>142</v>
      </c>
      <c r="F93" s="4" t="n">
        <v>4</v>
      </c>
      <c r="G93" s="4" t="s">
        <v>372</v>
      </c>
      <c r="H93" s="4" t="s">
        <v>73</v>
      </c>
      <c r="I93" s="4" t="s">
        <v>373</v>
      </c>
      <c r="J93" s="6" t="n">
        <f aca="false">IFERROR(DATEVALUE(B93),"")</f>
        <v>45488</v>
      </c>
      <c r="K93" s="4" t="str">
        <f aca="false">IF(A93="","",PROPER(TRIM(C93)))</f>
        <v>South</v>
      </c>
      <c r="L93" s="4" t="str">
        <f aca="false">IF(A93="","",PROPER(TRIM(D93)))</f>
        <v>Apparel</v>
      </c>
      <c r="M93" s="4" t="n">
        <f aca="false">IFERROR(VALUE(F93),0)</f>
        <v>4</v>
      </c>
      <c r="N93" s="7" t="n">
        <f aca="false">IFERROR(VALUE(SUBSTITUTE(G93,"$","")),0)</f>
        <v>173.84</v>
      </c>
      <c r="O93" s="4" t="n">
        <f aca="false">IF(A93="",0,IF(COUNTIF($A$2:A93,A93)&gt;1,1,0))</f>
        <v>0</v>
      </c>
      <c r="P93" s="4" t="n">
        <f aca="false">IF(AND(A93&lt;&gt;"",J93&lt;&gt;"",M93&gt;0,N93&gt;0,O93=0),1,0)</f>
        <v>1</v>
      </c>
      <c r="Q93" s="7" t="n">
        <f aca="false">IF(P93=1,M93*N93,0)</f>
        <v>695.36</v>
      </c>
    </row>
    <row r="94" customFormat="false" ht="15" hidden="false" customHeight="false" outlineLevel="0" collapsed="false">
      <c r="A94" s="4" t="n">
        <v>10389</v>
      </c>
      <c r="B94" s="4" t="s">
        <v>374</v>
      </c>
      <c r="C94" s="4" t="s">
        <v>178</v>
      </c>
      <c r="D94" s="4" t="s">
        <v>164</v>
      </c>
      <c r="E94" s="4" t="s">
        <v>116</v>
      </c>
      <c r="F94" s="4" t="n">
        <v>1</v>
      </c>
      <c r="G94" s="4" t="s">
        <v>375</v>
      </c>
      <c r="H94" s="4" t="s">
        <v>73</v>
      </c>
      <c r="I94" s="4" t="s">
        <v>376</v>
      </c>
      <c r="J94" s="6" t="n">
        <f aca="false">IFERROR(DATEVALUE(B94),"")</f>
        <v>45494</v>
      </c>
      <c r="K94" s="4" t="str">
        <f aca="false">IF(A94="","",PROPER(TRIM(C94)))</f>
        <v>South</v>
      </c>
      <c r="L94" s="4" t="str">
        <f aca="false">IF(A94="","",PROPER(TRIM(D94)))</f>
        <v>Apparel</v>
      </c>
      <c r="M94" s="4" t="n">
        <f aca="false">IFERROR(VALUE(F94),0)</f>
        <v>1</v>
      </c>
      <c r="N94" s="7" t="n">
        <f aca="false">IFERROR(VALUE(SUBSTITUTE(G94,"$","")),0)</f>
        <v>63.06</v>
      </c>
      <c r="O94" s="4" t="n">
        <f aca="false">IF(A94="",0,IF(COUNTIF($A$2:A94,A94)&gt;1,1,0))</f>
        <v>0</v>
      </c>
      <c r="P94" s="4" t="n">
        <f aca="false">IF(AND(A94&lt;&gt;"",J94&lt;&gt;"",M94&gt;0,N94&gt;0,O94=0),1,0)</f>
        <v>1</v>
      </c>
      <c r="Q94" s="7" t="n">
        <f aca="false">IF(P94=1,M94*N94,0)</f>
        <v>63.06</v>
      </c>
    </row>
    <row r="95" customFormat="false" ht="15" hidden="false" customHeight="false" outlineLevel="0" collapsed="false">
      <c r="A95" s="4" t="n">
        <v>10150</v>
      </c>
      <c r="B95" s="4" t="s">
        <v>377</v>
      </c>
      <c r="C95" s="4" t="s">
        <v>63</v>
      </c>
      <c r="D95" s="4" t="s">
        <v>58</v>
      </c>
      <c r="E95" s="4" t="s">
        <v>188</v>
      </c>
      <c r="F95" s="4" t="n">
        <v>1</v>
      </c>
      <c r="G95" s="4" t="s">
        <v>378</v>
      </c>
      <c r="H95" s="4" t="s">
        <v>73</v>
      </c>
      <c r="I95" s="4" t="s">
        <v>379</v>
      </c>
      <c r="J95" s="6" t="n">
        <f aca="false">IFERROR(DATEVALUE(B95),"")</f>
        <v>45586</v>
      </c>
      <c r="K95" s="4" t="str">
        <f aca="false">IF(A95="","",PROPER(TRIM(C95)))</f>
        <v>Midwest</v>
      </c>
      <c r="L95" s="4" t="str">
        <f aca="false">IF(A95="","",PROPER(TRIM(D95)))</f>
        <v>Climbing Gear</v>
      </c>
      <c r="M95" s="4" t="n">
        <f aca="false">IFERROR(VALUE(F95),0)</f>
        <v>1</v>
      </c>
      <c r="N95" s="7" t="n">
        <f aca="false">IFERROR(VALUE(SUBSTITUTE(G95,"$","")),0)</f>
        <v>21.45</v>
      </c>
      <c r="O95" s="4" t="n">
        <f aca="false">IF(A95="",0,IF(COUNTIF($A$2:A95,A95)&gt;1,1,0))</f>
        <v>0</v>
      </c>
      <c r="P95" s="4" t="n">
        <f aca="false">IF(AND(A95&lt;&gt;"",J95&lt;&gt;"",M95&gt;0,N95&gt;0,O95=0),1,0)</f>
        <v>1</v>
      </c>
      <c r="Q95" s="7" t="n">
        <f aca="false">IF(P95=1,M95*N95,0)</f>
        <v>21.45</v>
      </c>
    </row>
    <row r="96" customFormat="false" ht="15" hidden="false" customHeight="false" outlineLevel="0" collapsed="false">
      <c r="A96" s="4" t="n">
        <v>10759</v>
      </c>
      <c r="B96" s="4" t="s">
        <v>380</v>
      </c>
      <c r="C96" s="4" t="s">
        <v>155</v>
      </c>
      <c r="D96" s="4" t="s">
        <v>150</v>
      </c>
      <c r="E96" s="4" t="s">
        <v>65</v>
      </c>
      <c r="F96" s="4" t="n">
        <v>1</v>
      </c>
      <c r="G96" s="4" t="s">
        <v>381</v>
      </c>
      <c r="H96" s="4" t="s">
        <v>54</v>
      </c>
      <c r="I96" s="4" t="s">
        <v>382</v>
      </c>
      <c r="J96" s="6" t="n">
        <f aca="false">IFERROR(DATEVALUE(B96),"")</f>
        <v>45612</v>
      </c>
      <c r="K96" s="4" t="str">
        <f aca="false">IF(A96="","",PROPER(TRIM(C96)))</f>
        <v>South</v>
      </c>
      <c r="L96" s="4" t="str">
        <f aca="false">IF(A96="","",PROPER(TRIM(D96)))</f>
        <v>Footwear</v>
      </c>
      <c r="M96" s="4" t="n">
        <f aca="false">IFERROR(VALUE(F96),0)</f>
        <v>1</v>
      </c>
      <c r="N96" s="7" t="n">
        <f aca="false">IFERROR(VALUE(SUBSTITUTE(G96,"$","")),0)</f>
        <v>50.79</v>
      </c>
      <c r="O96" s="4" t="n">
        <f aca="false">IF(A96="",0,IF(COUNTIF($A$2:A96,A96)&gt;1,1,0))</f>
        <v>0</v>
      </c>
      <c r="P96" s="4" t="n">
        <f aca="false">IF(AND(A96&lt;&gt;"",J96&lt;&gt;"",M96&gt;0,N96&gt;0,O96=0),1,0)</f>
        <v>1</v>
      </c>
      <c r="Q96" s="7" t="n">
        <f aca="false">IF(P96=1,M96*N96,0)</f>
        <v>50.79</v>
      </c>
    </row>
    <row r="97" customFormat="false" ht="15" hidden="false" customHeight="false" outlineLevel="0" collapsed="false">
      <c r="A97" s="4" t="n">
        <v>10587</v>
      </c>
      <c r="B97" s="4" t="s">
        <v>383</v>
      </c>
      <c r="C97" s="4" t="s">
        <v>332</v>
      </c>
      <c r="D97" s="4" t="s">
        <v>179</v>
      </c>
      <c r="E97" s="4" t="s">
        <v>59</v>
      </c>
      <c r="F97" s="4" t="n">
        <v>2</v>
      </c>
      <c r="G97" s="4" t="s">
        <v>384</v>
      </c>
      <c r="H97" s="4" t="s">
        <v>47</v>
      </c>
      <c r="I97" s="4" t="s">
        <v>385</v>
      </c>
      <c r="J97" s="6" t="n">
        <f aca="false">IFERROR(DATEVALUE(B97),"")</f>
        <v>45599</v>
      </c>
      <c r="K97" s="4" t="str">
        <f aca="false">IF(A97="","",PROPER(TRIM(C97)))</f>
        <v>West</v>
      </c>
      <c r="L97" s="4" t="str">
        <f aca="false">IF(A97="","",PROPER(TRIM(D97)))</f>
        <v>Climbing Gear</v>
      </c>
      <c r="M97" s="4" t="n">
        <f aca="false">IFERROR(VALUE(F97),0)</f>
        <v>2</v>
      </c>
      <c r="N97" s="7" t="n">
        <f aca="false">IFERROR(VALUE(SUBSTITUTE(G97,"$","")),0)</f>
        <v>37.39</v>
      </c>
      <c r="O97" s="4" t="n">
        <f aca="false">IF(A97="",0,IF(COUNTIF($A$2:A97,A97)&gt;1,1,0))</f>
        <v>0</v>
      </c>
      <c r="P97" s="4" t="n">
        <f aca="false">IF(AND(A97&lt;&gt;"",J97&lt;&gt;"",M97&gt;0,N97&gt;0,O97=0),1,0)</f>
        <v>1</v>
      </c>
      <c r="Q97" s="7" t="n">
        <f aca="false">IF(P97=1,M97*N97,0)</f>
        <v>74.78</v>
      </c>
    </row>
    <row r="98" customFormat="false" ht="15" hidden="false" customHeight="false" outlineLevel="0" collapsed="false">
      <c r="A98" s="4" t="n">
        <v>10425</v>
      </c>
      <c r="B98" s="4" t="s">
        <v>386</v>
      </c>
      <c r="C98" s="4" t="s">
        <v>105</v>
      </c>
      <c r="D98" s="4" t="s">
        <v>387</v>
      </c>
      <c r="E98" s="4" t="s">
        <v>251</v>
      </c>
      <c r="F98" s="4" t="n">
        <v>4</v>
      </c>
      <c r="G98" s="4" t="s">
        <v>388</v>
      </c>
      <c r="H98" s="4" t="s">
        <v>47</v>
      </c>
      <c r="I98" s="4" t="s">
        <v>389</v>
      </c>
      <c r="J98" s="6" t="str">
        <f aca="false">IFERROR(DATEVALUE(B98),"")</f>
        <v/>
      </c>
      <c r="K98" s="4" t="str">
        <f aca="false">IF(A98="","",PROPER(TRIM(C98)))</f>
        <v>Midwest</v>
      </c>
      <c r="L98" s="4" t="str">
        <f aca="false">IF(A98="","",PROPER(TRIM(D98)))</f>
        <v>Camping Gear</v>
      </c>
      <c r="M98" s="4" t="n">
        <f aca="false">IFERROR(VALUE(F98),0)</f>
        <v>4</v>
      </c>
      <c r="N98" s="7" t="n">
        <f aca="false">IFERROR(VALUE(SUBSTITUTE(G98,"$","")),0)</f>
        <v>90.43</v>
      </c>
      <c r="O98" s="4" t="n">
        <f aca="false">IF(A98="",0,IF(COUNTIF($A$2:A98,A98)&gt;1,1,0))</f>
        <v>0</v>
      </c>
      <c r="P98" s="4" t="n">
        <f aca="false">IF(AND(A98&lt;&gt;"",J98&lt;&gt;"",M98&gt;0,N98&gt;0,O98=0),1,0)</f>
        <v>0</v>
      </c>
      <c r="Q98" s="7" t="n">
        <f aca="false">IF(P98=1,M98*N98,0)</f>
        <v>0</v>
      </c>
    </row>
    <row r="99" customFormat="false" ht="15" hidden="false" customHeight="false" outlineLevel="0" collapsed="false">
      <c r="A99" s="4" t="n">
        <v>10498</v>
      </c>
      <c r="B99" s="4" t="s">
        <v>49</v>
      </c>
      <c r="C99" s="4" t="s">
        <v>93</v>
      </c>
      <c r="D99" s="4" t="s">
        <v>58</v>
      </c>
      <c r="E99" s="4" t="s">
        <v>94</v>
      </c>
      <c r="F99" s="4" t="n">
        <v>1</v>
      </c>
      <c r="G99" s="4" t="s">
        <v>390</v>
      </c>
      <c r="H99" s="4" t="s">
        <v>73</v>
      </c>
      <c r="I99" s="4" t="s">
        <v>147</v>
      </c>
      <c r="J99" s="6" t="n">
        <f aca="false">IFERROR(DATEVALUE(B99),"")</f>
        <v>45670</v>
      </c>
      <c r="K99" s="4" t="str">
        <f aca="false">IF(A99="","",PROPER(TRIM(C99)))</f>
        <v>West</v>
      </c>
      <c r="L99" s="4" t="str">
        <f aca="false">IF(A99="","",PROPER(TRIM(D99)))</f>
        <v>Climbing Gear</v>
      </c>
      <c r="M99" s="4" t="n">
        <f aca="false">IFERROR(VALUE(F99),0)</f>
        <v>1</v>
      </c>
      <c r="N99" s="7" t="n">
        <f aca="false">IFERROR(VALUE(SUBSTITUTE(G99,"$","")),0)</f>
        <v>153.23</v>
      </c>
      <c r="O99" s="4" t="n">
        <f aca="false">IF(A99="",0,IF(COUNTIF($A$2:A99,A99)&gt;1,1,0))</f>
        <v>0</v>
      </c>
      <c r="P99" s="4" t="n">
        <f aca="false">IF(AND(A99&lt;&gt;"",J99&lt;&gt;"",M99&gt;0,N99&gt;0,O99=0),1,0)</f>
        <v>1</v>
      </c>
      <c r="Q99" s="7" t="n">
        <f aca="false">IF(P99=1,M99*N99,0)</f>
        <v>153.23</v>
      </c>
    </row>
    <row r="100" customFormat="false" ht="15" hidden="false" customHeight="false" outlineLevel="0" collapsed="false">
      <c r="A100" s="4" t="n">
        <v>10775</v>
      </c>
      <c r="B100" s="4" t="s">
        <v>386</v>
      </c>
      <c r="C100" s="4" t="s">
        <v>50</v>
      </c>
      <c r="D100" s="4" t="s">
        <v>106</v>
      </c>
      <c r="E100" s="4" t="s">
        <v>77</v>
      </c>
      <c r="F100" s="4" t="n">
        <v>2</v>
      </c>
      <c r="G100" s="4" t="s">
        <v>391</v>
      </c>
      <c r="H100" s="4" t="s">
        <v>73</v>
      </c>
      <c r="I100" s="4" t="s">
        <v>392</v>
      </c>
      <c r="J100" s="6" t="str">
        <f aca="false">IFERROR(DATEVALUE(B100),"")</f>
        <v/>
      </c>
      <c r="K100" s="4" t="str">
        <f aca="false">IF(A100="","",PROPER(TRIM(C100)))</f>
        <v>Midwest</v>
      </c>
      <c r="L100" s="4" t="str">
        <f aca="false">IF(A100="","",PROPER(TRIM(D100)))</f>
        <v>Footwear</v>
      </c>
      <c r="M100" s="4" t="n">
        <f aca="false">IFERROR(VALUE(F100),0)</f>
        <v>2</v>
      </c>
      <c r="N100" s="7" t="n">
        <f aca="false">IFERROR(VALUE(SUBSTITUTE(G100,"$","")),0)</f>
        <v>136.35</v>
      </c>
      <c r="O100" s="4" t="n">
        <f aca="false">IF(A100="",0,IF(COUNTIF($A$2:A100,A100)&gt;1,1,0))</f>
        <v>0</v>
      </c>
      <c r="P100" s="4" t="n">
        <f aca="false">IF(AND(A100&lt;&gt;"",J100&lt;&gt;"",M100&gt;0,N100&gt;0,O100=0),1,0)</f>
        <v>0</v>
      </c>
      <c r="Q100" s="7" t="n">
        <f aca="false">IF(P100=1,M100*N100,0)</f>
        <v>0</v>
      </c>
    </row>
    <row r="101" customFormat="false" ht="15" hidden="false" customHeight="false" outlineLevel="0" collapsed="false">
      <c r="A101" s="4" t="n">
        <v>10459</v>
      </c>
      <c r="B101" s="4" t="s">
        <v>393</v>
      </c>
      <c r="C101" s="4" t="s">
        <v>69</v>
      </c>
      <c r="D101" s="4" t="s">
        <v>64</v>
      </c>
      <c r="E101" s="4" t="s">
        <v>65</v>
      </c>
      <c r="F101" s="4" t="n">
        <v>2</v>
      </c>
      <c r="G101" s="4" t="s">
        <v>394</v>
      </c>
      <c r="H101" s="4" t="s">
        <v>73</v>
      </c>
      <c r="I101" s="4" t="s">
        <v>395</v>
      </c>
      <c r="J101" s="6" t="n">
        <f aca="false">IFERROR(DATEVALUE(B101),"")</f>
        <v>45560</v>
      </c>
      <c r="K101" s="4" t="str">
        <f aca="false">IF(A101="","",PROPER(TRIM(C101)))</f>
        <v>East</v>
      </c>
      <c r="L101" s="4" t="str">
        <f aca="false">IF(A101="","",PROPER(TRIM(D101)))</f>
        <v>Footwear</v>
      </c>
      <c r="M101" s="4" t="n">
        <f aca="false">IFERROR(VALUE(F101),0)</f>
        <v>2</v>
      </c>
      <c r="N101" s="7" t="n">
        <f aca="false">IFERROR(VALUE(SUBSTITUTE(G101,"$","")),0)</f>
        <v>55.28</v>
      </c>
      <c r="O101" s="4" t="n">
        <f aca="false">IF(A101="",0,IF(COUNTIF($A$2:A101,A101)&gt;1,1,0))</f>
        <v>0</v>
      </c>
      <c r="P101" s="4" t="n">
        <f aca="false">IF(AND(A101&lt;&gt;"",J101&lt;&gt;"",M101&gt;0,N101&gt;0,O101=0),1,0)</f>
        <v>1</v>
      </c>
      <c r="Q101" s="7" t="n">
        <f aca="false">IF(P101=1,M101*N101,0)</f>
        <v>110.56</v>
      </c>
    </row>
    <row r="102" customFormat="false" ht="15" hidden="false" customHeight="false" outlineLevel="0" collapsed="false">
      <c r="A102" s="4" t="n">
        <v>10347</v>
      </c>
      <c r="B102" s="4" t="s">
        <v>396</v>
      </c>
      <c r="C102" s="4" t="s">
        <v>63</v>
      </c>
      <c r="D102" s="4" t="s">
        <v>164</v>
      </c>
      <c r="E102" s="4" t="s">
        <v>89</v>
      </c>
      <c r="F102" s="4" t="n">
        <v>3</v>
      </c>
      <c r="G102" s="4" t="s">
        <v>397</v>
      </c>
      <c r="H102" s="4" t="s">
        <v>54</v>
      </c>
      <c r="I102" s="4" t="s">
        <v>398</v>
      </c>
      <c r="J102" s="6" t="n">
        <f aca="false">IFERROR(DATEVALUE(B102),"")</f>
        <v>45447</v>
      </c>
      <c r="K102" s="4" t="str">
        <f aca="false">IF(A102="","",PROPER(TRIM(C102)))</f>
        <v>Midwest</v>
      </c>
      <c r="L102" s="4" t="str">
        <f aca="false">IF(A102="","",PROPER(TRIM(D102)))</f>
        <v>Apparel</v>
      </c>
      <c r="M102" s="4" t="n">
        <f aca="false">IFERROR(VALUE(F102),0)</f>
        <v>3</v>
      </c>
      <c r="N102" s="7" t="n">
        <f aca="false">IFERROR(VALUE(SUBSTITUTE(G102,"$","")),0)</f>
        <v>56.69</v>
      </c>
      <c r="O102" s="4" t="n">
        <f aca="false">IF(A102="",0,IF(COUNTIF($A$2:A102,A102)&gt;1,1,0))</f>
        <v>0</v>
      </c>
      <c r="P102" s="4" t="n">
        <f aca="false">IF(AND(A102&lt;&gt;"",J102&lt;&gt;"",M102&gt;0,N102&gt;0,O102=0),1,0)</f>
        <v>1</v>
      </c>
      <c r="Q102" s="7" t="n">
        <f aca="false">IF(P102=1,M102*N102,0)</f>
        <v>170.07</v>
      </c>
    </row>
    <row r="103" customFormat="false" ht="15" hidden="false" customHeight="false" outlineLevel="0" collapsed="false">
      <c r="A103" s="4" t="n">
        <v>10550</v>
      </c>
      <c r="B103" s="4" t="s">
        <v>399</v>
      </c>
      <c r="C103" s="4" t="s">
        <v>120</v>
      </c>
      <c r="D103" s="4" t="s">
        <v>64</v>
      </c>
      <c r="E103" s="4" t="s">
        <v>65</v>
      </c>
      <c r="F103" s="4" t="n">
        <v>3</v>
      </c>
      <c r="G103" s="4" t="s">
        <v>400</v>
      </c>
      <c r="H103" s="4" t="s">
        <v>73</v>
      </c>
      <c r="I103" s="4" t="s">
        <v>401</v>
      </c>
      <c r="J103" s="6" t="n">
        <f aca="false">IFERROR(DATEVALUE(B103),"")</f>
        <v>45631</v>
      </c>
      <c r="K103" s="4" t="str">
        <f aca="false">IF(A103="","",PROPER(TRIM(C103)))</f>
        <v>East</v>
      </c>
      <c r="L103" s="4" t="str">
        <f aca="false">IF(A103="","",PROPER(TRIM(D103)))</f>
        <v>Footwear</v>
      </c>
      <c r="M103" s="4" t="n">
        <f aca="false">IFERROR(VALUE(F103),0)</f>
        <v>3</v>
      </c>
      <c r="N103" s="7" t="n">
        <f aca="false">IFERROR(VALUE(SUBSTITUTE(G103,"$","")),0)</f>
        <v>51.99</v>
      </c>
      <c r="O103" s="4" t="n">
        <f aca="false">IF(A103="",0,IF(COUNTIF($A$2:A103,A103)&gt;1,1,0))</f>
        <v>0</v>
      </c>
      <c r="P103" s="4" t="n">
        <f aca="false">IF(AND(A103&lt;&gt;"",J103&lt;&gt;"",M103&gt;0,N103&gt;0,O103=0),1,0)</f>
        <v>1</v>
      </c>
      <c r="Q103" s="7" t="n">
        <f aca="false">IF(P103=1,M103*N103,0)</f>
        <v>155.97</v>
      </c>
    </row>
    <row r="104" customFormat="false" ht="15" hidden="false" customHeight="false" outlineLevel="0" collapsed="false">
      <c r="A104" s="4" t="n">
        <v>10724</v>
      </c>
      <c r="B104" s="4" t="s">
        <v>402</v>
      </c>
      <c r="C104" s="4" t="s">
        <v>57</v>
      </c>
      <c r="D104" s="4" t="s">
        <v>58</v>
      </c>
      <c r="E104" s="4" t="s">
        <v>188</v>
      </c>
      <c r="F104" s="4" t="n">
        <v>1</v>
      </c>
      <c r="G104" s="4" t="s">
        <v>403</v>
      </c>
      <c r="H104" s="4" t="s">
        <v>47</v>
      </c>
      <c r="I104" s="4" t="s">
        <v>404</v>
      </c>
      <c r="J104" s="6" t="n">
        <f aca="false">IFERROR(DATEVALUE(B104),"")</f>
        <v>45632</v>
      </c>
      <c r="K104" s="4" t="str">
        <f aca="false">IF(A104="","",PROPER(TRIM(C104)))</f>
        <v>West</v>
      </c>
      <c r="L104" s="4" t="str">
        <f aca="false">IF(A104="","",PROPER(TRIM(D104)))</f>
        <v>Climbing Gear</v>
      </c>
      <c r="M104" s="4" t="n">
        <f aca="false">IFERROR(VALUE(F104),0)</f>
        <v>1</v>
      </c>
      <c r="N104" s="7" t="n">
        <f aca="false">IFERROR(VALUE(SUBSTITUTE(G104,"$","")),0)</f>
        <v>21.7</v>
      </c>
      <c r="O104" s="4" t="n">
        <f aca="false">IF(A104="",0,IF(COUNTIF($A$2:A104,A104)&gt;1,1,0))</f>
        <v>0</v>
      </c>
      <c r="P104" s="4" t="n">
        <f aca="false">IF(AND(A104&lt;&gt;"",J104&lt;&gt;"",M104&gt;0,N104&gt;0,O104=0),1,0)</f>
        <v>1</v>
      </c>
      <c r="Q104" s="7" t="n">
        <f aca="false">IF(P104=1,M104*N104,0)</f>
        <v>21.7</v>
      </c>
    </row>
    <row r="105" customFormat="false" ht="15" hidden="false" customHeight="false" outlineLevel="0" collapsed="false">
      <c r="A105" s="4" t="n">
        <v>10707</v>
      </c>
      <c r="B105" s="4" t="s">
        <v>405</v>
      </c>
      <c r="C105" s="4" t="s">
        <v>133</v>
      </c>
      <c r="D105" s="4" t="s">
        <v>124</v>
      </c>
      <c r="E105" s="4" t="s">
        <v>125</v>
      </c>
      <c r="F105" s="4" t="n">
        <v>-2</v>
      </c>
      <c r="G105" s="4" t="s">
        <v>406</v>
      </c>
      <c r="H105" s="4" t="s">
        <v>47</v>
      </c>
      <c r="I105" s="4" t="s">
        <v>407</v>
      </c>
      <c r="J105" s="6" t="n">
        <f aca="false">IFERROR(DATEVALUE(B105),"")</f>
        <v>45361</v>
      </c>
      <c r="K105" s="4" t="str">
        <f aca="false">IF(A105="","",PROPER(TRIM(C105)))</f>
        <v>East</v>
      </c>
      <c r="L105" s="4" t="str">
        <f aca="false">IF(A105="","",PROPER(TRIM(D105)))</f>
        <v>Climbing Gear</v>
      </c>
      <c r="M105" s="4" t="n">
        <f aca="false">IFERROR(VALUE(F105),0)</f>
        <v>-2</v>
      </c>
      <c r="N105" s="7" t="n">
        <f aca="false">IFERROR(VALUE(SUBSTITUTE(G105,"$","")),0)</f>
        <v>90.25</v>
      </c>
      <c r="O105" s="4" t="n">
        <f aca="false">IF(A105="",0,IF(COUNTIF($A$2:A105,A105)&gt;1,1,0))</f>
        <v>0</v>
      </c>
      <c r="P105" s="4" t="n">
        <f aca="false">IF(AND(A105&lt;&gt;"",J105&lt;&gt;"",M105&gt;0,N105&gt;0,O105=0),1,0)</f>
        <v>0</v>
      </c>
      <c r="Q105" s="7" t="n">
        <f aca="false">IF(P105=1,M105*N105,0)</f>
        <v>0</v>
      </c>
    </row>
    <row r="106" customFormat="false" ht="15" hidden="false" customHeight="false" outlineLevel="0" collapsed="false">
      <c r="A106" s="4" t="n">
        <v>10584</v>
      </c>
      <c r="B106" s="4" t="s">
        <v>408</v>
      </c>
      <c r="C106" s="4" t="s">
        <v>133</v>
      </c>
      <c r="D106" s="4" t="s">
        <v>51</v>
      </c>
      <c r="E106" s="4" t="s">
        <v>45</v>
      </c>
      <c r="F106" s="4" t="n">
        <v>1</v>
      </c>
      <c r="G106" s="4" t="s">
        <v>409</v>
      </c>
      <c r="H106" s="4" t="s">
        <v>47</v>
      </c>
      <c r="I106" s="4" t="s">
        <v>227</v>
      </c>
      <c r="J106" s="6" t="n">
        <f aca="false">IFERROR(DATEVALUE(B106),"")</f>
        <v>45424</v>
      </c>
      <c r="K106" s="4" t="str">
        <f aca="false">IF(A106="","",PROPER(TRIM(C106)))</f>
        <v>East</v>
      </c>
      <c r="L106" s="4" t="str">
        <f aca="false">IF(A106="","",PROPER(TRIM(D106)))</f>
        <v>Accessories</v>
      </c>
      <c r="M106" s="4" t="n">
        <f aca="false">IFERROR(VALUE(F106),0)</f>
        <v>1</v>
      </c>
      <c r="N106" s="7" t="n">
        <f aca="false">IFERROR(VALUE(SUBSTITUTE(G106,"$","")),0)</f>
        <v>55.06</v>
      </c>
      <c r="O106" s="4" t="n">
        <f aca="false">IF(A106="",0,IF(COUNTIF($A$2:A106,A106)&gt;1,1,0))</f>
        <v>0</v>
      </c>
      <c r="P106" s="4" t="n">
        <f aca="false">IF(AND(A106&lt;&gt;"",J106&lt;&gt;"",M106&gt;0,N106&gt;0,O106=0),1,0)</f>
        <v>1</v>
      </c>
      <c r="Q106" s="7" t="n">
        <f aca="false">IF(P106=1,M106*N106,0)</f>
        <v>55.06</v>
      </c>
    </row>
    <row r="107" customFormat="false" ht="15" hidden="false" customHeight="false" outlineLevel="0" collapsed="false">
      <c r="A107" s="4" t="n">
        <v>10720</v>
      </c>
      <c r="B107" s="4" t="s">
        <v>410</v>
      </c>
      <c r="C107" s="4" t="s">
        <v>178</v>
      </c>
      <c r="D107" s="4" t="s">
        <v>179</v>
      </c>
      <c r="E107" s="4" t="s">
        <v>188</v>
      </c>
      <c r="F107" s="4" t="n">
        <v>1</v>
      </c>
      <c r="G107" s="4" t="s">
        <v>411</v>
      </c>
      <c r="H107" s="4" t="s">
        <v>47</v>
      </c>
      <c r="I107" s="4" t="s">
        <v>412</v>
      </c>
      <c r="J107" s="6" t="n">
        <f aca="false">IFERROR(DATEVALUE(B107),"")</f>
        <v>45781</v>
      </c>
      <c r="K107" s="4" t="str">
        <f aca="false">IF(A107="","",PROPER(TRIM(C107)))</f>
        <v>South</v>
      </c>
      <c r="L107" s="4" t="str">
        <f aca="false">IF(A107="","",PROPER(TRIM(D107)))</f>
        <v>Climbing Gear</v>
      </c>
      <c r="M107" s="4" t="n">
        <f aca="false">IFERROR(VALUE(F107),0)</f>
        <v>1</v>
      </c>
      <c r="N107" s="7" t="n">
        <f aca="false">IFERROR(VALUE(SUBSTITUTE(G107,"$","")),0)</f>
        <v>19.28</v>
      </c>
      <c r="O107" s="4" t="n">
        <f aca="false">IF(A107="",0,IF(COUNTIF($A$2:A107,A107)&gt;1,1,0))</f>
        <v>0</v>
      </c>
      <c r="P107" s="4" t="n">
        <f aca="false">IF(AND(A107&lt;&gt;"",J107&lt;&gt;"",M107&gt;0,N107&gt;0,O107=0),1,0)</f>
        <v>1</v>
      </c>
      <c r="Q107" s="7" t="n">
        <f aca="false">IF(P107=1,M107*N107,0)</f>
        <v>19.28</v>
      </c>
    </row>
    <row r="108" customFormat="false" ht="15" hidden="false" customHeight="false" outlineLevel="0" collapsed="false">
      <c r="A108" s="4" t="n">
        <v>10057</v>
      </c>
      <c r="B108" s="4" t="s">
        <v>413</v>
      </c>
      <c r="C108" s="4" t="s">
        <v>332</v>
      </c>
      <c r="D108" s="4" t="s">
        <v>129</v>
      </c>
      <c r="E108" s="4" t="s">
        <v>125</v>
      </c>
      <c r="F108" s="4" t="n">
        <v>1</v>
      </c>
      <c r="G108" s="4" t="s">
        <v>414</v>
      </c>
      <c r="H108" s="4" t="s">
        <v>47</v>
      </c>
      <c r="I108" s="4" t="s">
        <v>415</v>
      </c>
      <c r="J108" s="6" t="n">
        <f aca="false">IFERROR(DATEVALUE(B108),"")</f>
        <v>45767</v>
      </c>
      <c r="K108" s="4" t="str">
        <f aca="false">IF(A108="","",PROPER(TRIM(C108)))</f>
        <v>West</v>
      </c>
      <c r="L108" s="4" t="str">
        <f aca="false">IF(A108="","",PROPER(TRIM(D108)))</f>
        <v>Climbing Gear</v>
      </c>
      <c r="M108" s="4" t="n">
        <f aca="false">IFERROR(VALUE(F108),0)</f>
        <v>1</v>
      </c>
      <c r="N108" s="7" t="n">
        <f aca="false">IFERROR(VALUE(SUBSTITUTE(G108,"$","")),0)</f>
        <v>94.41</v>
      </c>
      <c r="O108" s="4" t="n">
        <f aca="false">IF(A108="",0,IF(COUNTIF($A$2:A108,A108)&gt;1,1,0))</f>
        <v>0</v>
      </c>
      <c r="P108" s="4" t="n">
        <f aca="false">IF(AND(A108&lt;&gt;"",J108&lt;&gt;"",M108&gt;0,N108&gt;0,O108=0),1,0)</f>
        <v>1</v>
      </c>
      <c r="Q108" s="7" t="n">
        <f aca="false">IF(P108=1,M108*N108,0)</f>
        <v>94.41</v>
      </c>
    </row>
    <row r="109" customFormat="false" ht="15" hidden="false" customHeight="false" outlineLevel="0" collapsed="false">
      <c r="A109" s="4" t="n">
        <v>10137</v>
      </c>
      <c r="B109" s="4" t="s">
        <v>416</v>
      </c>
      <c r="C109" s="4" t="s">
        <v>110</v>
      </c>
      <c r="D109" s="4" t="s">
        <v>225</v>
      </c>
      <c r="E109" s="4" t="s">
        <v>45</v>
      </c>
      <c r="F109" s="4" t="n">
        <v>4</v>
      </c>
      <c r="G109" s="4" t="s">
        <v>417</v>
      </c>
      <c r="H109" s="4" t="s">
        <v>54</v>
      </c>
      <c r="I109" s="4" t="s">
        <v>86</v>
      </c>
      <c r="J109" s="6" t="n">
        <f aca="false">IFERROR(DATEVALUE(B109),"")</f>
        <v>45542</v>
      </c>
      <c r="K109" s="4" t="str">
        <f aca="false">IF(A109="","",PROPER(TRIM(C109)))</f>
        <v>Midwest</v>
      </c>
      <c r="L109" s="4" t="str">
        <f aca="false">IF(A109="","",PROPER(TRIM(D109)))</f>
        <v>Accessories</v>
      </c>
      <c r="M109" s="4" t="n">
        <f aca="false">IFERROR(VALUE(F109),0)</f>
        <v>4</v>
      </c>
      <c r="N109" s="7" t="n">
        <f aca="false">IFERROR(VALUE(SUBSTITUTE(G109,"$","")),0)</f>
        <v>46.5</v>
      </c>
      <c r="O109" s="4" t="n">
        <f aca="false">IF(A109="",0,IF(COUNTIF($A$2:A109,A109)&gt;1,1,0))</f>
        <v>0</v>
      </c>
      <c r="P109" s="4" t="n">
        <f aca="false">IF(AND(A109&lt;&gt;"",J109&lt;&gt;"",M109&gt;0,N109&gt;0,O109=0),1,0)</f>
        <v>1</v>
      </c>
      <c r="Q109" s="7" t="n">
        <f aca="false">IF(P109=1,M109*N109,0)</f>
        <v>186</v>
      </c>
    </row>
    <row r="110" customFormat="false" ht="15" hidden="false" customHeight="false" outlineLevel="0" collapsed="false">
      <c r="A110" s="4" t="n">
        <v>10558</v>
      </c>
      <c r="B110" s="4" t="s">
        <v>418</v>
      </c>
      <c r="C110" s="4" t="s">
        <v>110</v>
      </c>
      <c r="D110" s="4" t="s">
        <v>217</v>
      </c>
      <c r="E110" s="4" t="s">
        <v>116</v>
      </c>
      <c r="F110" s="4" t="n">
        <v>3</v>
      </c>
      <c r="G110" s="4" t="s">
        <v>419</v>
      </c>
      <c r="H110" s="4" t="s">
        <v>54</v>
      </c>
      <c r="I110" s="4" t="s">
        <v>373</v>
      </c>
      <c r="J110" s="6" t="n">
        <f aca="false">IFERROR(DATEVALUE(B110),"")</f>
        <v>45609</v>
      </c>
      <c r="K110" s="4" t="str">
        <f aca="false">IF(A110="","",PROPER(TRIM(C110)))</f>
        <v>Midwest</v>
      </c>
      <c r="L110" s="4" t="str">
        <f aca="false">IF(A110="","",PROPER(TRIM(D110)))</f>
        <v>Apparel</v>
      </c>
      <c r="M110" s="4" t="n">
        <f aca="false">IFERROR(VALUE(F110),0)</f>
        <v>3</v>
      </c>
      <c r="N110" s="7" t="n">
        <f aca="false">IFERROR(VALUE(SUBSTITUTE(G110,"$","")),0)</f>
        <v>80.25</v>
      </c>
      <c r="O110" s="4" t="n">
        <f aca="false">IF(A110="",0,IF(COUNTIF($A$2:A110,A110)&gt;1,1,0))</f>
        <v>0</v>
      </c>
      <c r="P110" s="4" t="n">
        <f aca="false">IF(AND(A110&lt;&gt;"",J110&lt;&gt;"",M110&gt;0,N110&gt;0,O110=0),1,0)</f>
        <v>1</v>
      </c>
      <c r="Q110" s="7" t="n">
        <f aca="false">IF(P110=1,M110*N110,0)</f>
        <v>240.75</v>
      </c>
    </row>
    <row r="111" customFormat="false" ht="15" hidden="false" customHeight="false" outlineLevel="0" collapsed="false">
      <c r="A111" s="4" t="n">
        <v>10298</v>
      </c>
      <c r="B111" s="4" t="s">
        <v>420</v>
      </c>
      <c r="C111" s="4" t="s">
        <v>149</v>
      </c>
      <c r="D111" s="4" t="s">
        <v>101</v>
      </c>
      <c r="E111" s="4" t="s">
        <v>45</v>
      </c>
      <c r="F111" s="4" t="n">
        <v>2</v>
      </c>
      <c r="G111" s="4" t="s">
        <v>421</v>
      </c>
      <c r="H111" s="4" t="s">
        <v>73</v>
      </c>
      <c r="I111" s="4" t="s">
        <v>422</v>
      </c>
      <c r="J111" s="6" t="n">
        <f aca="false">IFERROR(DATEVALUE(B111),"")</f>
        <v>45324</v>
      </c>
      <c r="K111" s="4" t="str">
        <f aca="false">IF(A111="","",PROPER(TRIM(C111)))</f>
        <v>East</v>
      </c>
      <c r="L111" s="4" t="str">
        <f aca="false">IF(A111="","",PROPER(TRIM(D111)))</f>
        <v>Accessories</v>
      </c>
      <c r="M111" s="4" t="n">
        <f aca="false">IFERROR(VALUE(F111),0)</f>
        <v>2</v>
      </c>
      <c r="N111" s="7" t="n">
        <f aca="false">IFERROR(VALUE(SUBSTITUTE(G111,"$","")),0)</f>
        <v>53.03</v>
      </c>
      <c r="O111" s="4" t="n">
        <f aca="false">IF(A111="",0,IF(COUNTIF($A$2:A111,A111)&gt;1,1,0))</f>
        <v>0</v>
      </c>
      <c r="P111" s="4" t="n">
        <f aca="false">IF(AND(A111&lt;&gt;"",J111&lt;&gt;"",M111&gt;0,N111&gt;0,O111=0),1,0)</f>
        <v>1</v>
      </c>
      <c r="Q111" s="7" t="n">
        <f aca="false">IF(P111=1,M111*N111,0)</f>
        <v>106.06</v>
      </c>
    </row>
    <row r="112" customFormat="false" ht="15" hidden="false" customHeight="false" outlineLevel="0" collapsed="false">
      <c r="A112" s="4" t="n">
        <v>10175</v>
      </c>
      <c r="B112" s="4" t="s">
        <v>423</v>
      </c>
      <c r="C112" s="4" t="s">
        <v>229</v>
      </c>
      <c r="D112" s="4" t="s">
        <v>387</v>
      </c>
      <c r="E112" s="4" t="s">
        <v>251</v>
      </c>
      <c r="F112" s="4" t="n">
        <v>2</v>
      </c>
      <c r="G112" s="4" t="s">
        <v>424</v>
      </c>
      <c r="H112" s="4" t="s">
        <v>73</v>
      </c>
      <c r="I112" s="4" t="s">
        <v>425</v>
      </c>
      <c r="J112" s="6" t="n">
        <f aca="false">IFERROR(DATEVALUE(B112),"")</f>
        <v>45457</v>
      </c>
      <c r="K112" s="4" t="str">
        <f aca="false">IF(A112="","",PROPER(TRIM(C112)))</f>
        <v>Midwest</v>
      </c>
      <c r="L112" s="4" t="str">
        <f aca="false">IF(A112="","",PROPER(TRIM(D112)))</f>
        <v>Camping Gear</v>
      </c>
      <c r="M112" s="4" t="n">
        <f aca="false">IFERROR(VALUE(F112),0)</f>
        <v>2</v>
      </c>
      <c r="N112" s="7" t="n">
        <f aca="false">IFERROR(VALUE(SUBSTITUTE(G112,"$","")),0)</f>
        <v>91.25</v>
      </c>
      <c r="O112" s="4" t="n">
        <f aca="false">IF(A112="",0,IF(COUNTIF($A$2:A112,A112)&gt;1,1,0))</f>
        <v>0</v>
      </c>
      <c r="P112" s="4" t="n">
        <f aca="false">IF(AND(A112&lt;&gt;"",J112&lt;&gt;"",M112&gt;0,N112&gt;0,O112=0),1,0)</f>
        <v>1</v>
      </c>
      <c r="Q112" s="7" t="n">
        <f aca="false">IF(P112=1,M112*N112,0)</f>
        <v>182.5</v>
      </c>
    </row>
    <row r="113" customFormat="false" ht="15" hidden="false" customHeight="false" outlineLevel="0" collapsed="false">
      <c r="A113" s="4" t="n">
        <v>10610</v>
      </c>
      <c r="B113" s="4" t="s">
        <v>426</v>
      </c>
      <c r="C113" s="4" t="s">
        <v>50</v>
      </c>
      <c r="D113" s="4" t="s">
        <v>64</v>
      </c>
      <c r="E113" s="4" t="s">
        <v>111</v>
      </c>
      <c r="F113" s="4" t="n">
        <v>2</v>
      </c>
      <c r="G113" s="4" t="s">
        <v>427</v>
      </c>
      <c r="H113" s="4" t="s">
        <v>54</v>
      </c>
      <c r="I113" s="4" t="s">
        <v>428</v>
      </c>
      <c r="J113" s="6" t="n">
        <f aca="false">IFERROR(DATEVALUE(B113),"")</f>
        <v>45777</v>
      </c>
      <c r="K113" s="4" t="str">
        <f aca="false">IF(A113="","",PROPER(TRIM(C113)))</f>
        <v>Midwest</v>
      </c>
      <c r="L113" s="4" t="str">
        <f aca="false">IF(A113="","",PROPER(TRIM(D113)))</f>
        <v>Footwear</v>
      </c>
      <c r="M113" s="4" t="n">
        <f aca="false">IFERROR(VALUE(F113),0)</f>
        <v>2</v>
      </c>
      <c r="N113" s="7" t="n">
        <f aca="false">IFERROR(VALUE(SUBSTITUTE(G113,"$","")),0)</f>
        <v>86.7</v>
      </c>
      <c r="O113" s="4" t="n">
        <f aca="false">IF(A113="",0,IF(COUNTIF($A$2:A113,A113)&gt;1,1,0))</f>
        <v>0</v>
      </c>
      <c r="P113" s="4" t="n">
        <f aca="false">IF(AND(A113&lt;&gt;"",J113&lt;&gt;"",M113&gt;0,N113&gt;0,O113=0),1,0)</f>
        <v>1</v>
      </c>
      <c r="Q113" s="7" t="n">
        <f aca="false">IF(P113=1,M113*N113,0)</f>
        <v>173.4</v>
      </c>
    </row>
    <row r="114" customFormat="false" ht="15" hidden="false" customHeight="false" outlineLevel="0" collapsed="false">
      <c r="A114" s="4" t="n">
        <v>10353</v>
      </c>
      <c r="B114" s="4" t="s">
        <v>429</v>
      </c>
      <c r="C114" s="4" t="s">
        <v>178</v>
      </c>
      <c r="D114" s="4" t="s">
        <v>387</v>
      </c>
      <c r="E114" s="4" t="s">
        <v>71</v>
      </c>
      <c r="F114" s="4" t="n">
        <v>2</v>
      </c>
      <c r="G114" s="4" t="s">
        <v>430</v>
      </c>
      <c r="H114" s="4" t="s">
        <v>54</v>
      </c>
      <c r="I114" s="4" t="s">
        <v>349</v>
      </c>
      <c r="J114" s="6" t="n">
        <f aca="false">IFERROR(DATEVALUE(B114),"")</f>
        <v>45502</v>
      </c>
      <c r="K114" s="4" t="str">
        <f aca="false">IF(A114="","",PROPER(TRIM(C114)))</f>
        <v>South</v>
      </c>
      <c r="L114" s="4" t="str">
        <f aca="false">IF(A114="","",PROPER(TRIM(D114)))</f>
        <v>Camping Gear</v>
      </c>
      <c r="M114" s="4" t="n">
        <f aca="false">IFERROR(VALUE(F114),0)</f>
        <v>2</v>
      </c>
      <c r="N114" s="7" t="n">
        <f aca="false">IFERROR(VALUE(SUBSTITUTE(G114,"$","")),0)</f>
        <v>71.2</v>
      </c>
      <c r="O114" s="4" t="n">
        <f aca="false">IF(A114="",0,IF(COUNTIF($A$2:A114,A114)&gt;1,1,0))</f>
        <v>0</v>
      </c>
      <c r="P114" s="4" t="n">
        <f aca="false">IF(AND(A114&lt;&gt;"",J114&lt;&gt;"",M114&gt;0,N114&gt;0,O114=0),1,0)</f>
        <v>1</v>
      </c>
      <c r="Q114" s="7" t="n">
        <f aca="false">IF(P114=1,M114*N114,0)</f>
        <v>142.4</v>
      </c>
    </row>
    <row r="115" customFormat="false" ht="15" hidden="false" customHeight="false" outlineLevel="0" collapsed="false">
      <c r="A115" s="4" t="n">
        <v>10352</v>
      </c>
      <c r="B115" s="4" t="s">
        <v>431</v>
      </c>
      <c r="C115" s="4" t="s">
        <v>315</v>
      </c>
      <c r="D115" s="4" t="s">
        <v>106</v>
      </c>
      <c r="E115" s="4" t="s">
        <v>151</v>
      </c>
      <c r="F115" s="4" t="n">
        <v>4</v>
      </c>
      <c r="G115" s="4" t="s">
        <v>432</v>
      </c>
      <c r="H115" s="4" t="s">
        <v>73</v>
      </c>
      <c r="I115" s="4" t="s">
        <v>433</v>
      </c>
      <c r="J115" s="6" t="n">
        <f aca="false">IFERROR(DATEVALUE(B115),"")</f>
        <v>45408</v>
      </c>
      <c r="K115" s="4" t="str">
        <f aca="false">IF(A115="","",PROPER(TRIM(C115)))</f>
        <v>South</v>
      </c>
      <c r="L115" s="4" t="str">
        <f aca="false">IF(A115="","",PROPER(TRIM(D115)))</f>
        <v>Footwear</v>
      </c>
      <c r="M115" s="4" t="n">
        <f aca="false">IFERROR(VALUE(F115),0)</f>
        <v>4</v>
      </c>
      <c r="N115" s="7" t="n">
        <f aca="false">IFERROR(VALUE(SUBSTITUTE(G115,"$","")),0)</f>
        <v>145.36</v>
      </c>
      <c r="O115" s="4" t="n">
        <f aca="false">IF(A115="",0,IF(COUNTIF($A$2:A115,A115)&gt;1,1,0))</f>
        <v>0</v>
      </c>
      <c r="P115" s="4" t="n">
        <f aca="false">IF(AND(A115&lt;&gt;"",J115&lt;&gt;"",M115&gt;0,N115&gt;0,O115=0),1,0)</f>
        <v>1</v>
      </c>
      <c r="Q115" s="7" t="n">
        <f aca="false">IF(P115=1,M115*N115,0)</f>
        <v>581.44</v>
      </c>
    </row>
    <row r="116" customFormat="false" ht="15" hidden="false" customHeight="false" outlineLevel="0" collapsed="false">
      <c r="A116" s="4" t="n">
        <v>10026</v>
      </c>
      <c r="B116" s="4" t="s">
        <v>434</v>
      </c>
      <c r="C116" s="4" t="s">
        <v>435</v>
      </c>
      <c r="D116" s="4" t="s">
        <v>88</v>
      </c>
      <c r="E116" s="4" t="s">
        <v>116</v>
      </c>
      <c r="F116" s="4" t="n">
        <v>3</v>
      </c>
      <c r="G116" s="4" t="s">
        <v>436</v>
      </c>
      <c r="H116" s="4" t="s">
        <v>47</v>
      </c>
      <c r="I116" s="4" t="s">
        <v>437</v>
      </c>
      <c r="J116" s="6" t="n">
        <f aca="false">IFERROR(DATEVALUE(B116),"")</f>
        <v>45383</v>
      </c>
      <c r="K116" s="4" t="str">
        <f aca="false">IF(A116="","",PROPER(TRIM(C116)))</f>
        <v>Midwest</v>
      </c>
      <c r="L116" s="4" t="str">
        <f aca="false">IF(A116="","",PROPER(TRIM(D116)))</f>
        <v>Apparel</v>
      </c>
      <c r="M116" s="4" t="n">
        <f aca="false">IFERROR(VALUE(F116),0)</f>
        <v>3</v>
      </c>
      <c r="N116" s="7" t="n">
        <f aca="false">IFERROR(VALUE(SUBSTITUTE(G116,"$","")),0)</f>
        <v>75.25</v>
      </c>
      <c r="O116" s="4" t="n">
        <f aca="false">IF(A116="",0,IF(COUNTIF($A$2:A116,A116)&gt;1,1,0))</f>
        <v>0</v>
      </c>
      <c r="P116" s="4" t="n">
        <f aca="false">IF(AND(A116&lt;&gt;"",J116&lt;&gt;"",M116&gt;0,N116&gt;0,O116=0),1,0)</f>
        <v>1</v>
      </c>
      <c r="Q116" s="7" t="n">
        <f aca="false">IF(P116=1,M116*N116,0)</f>
        <v>225.75</v>
      </c>
    </row>
    <row r="117" customFormat="false" ht="15" hidden="false" customHeight="false" outlineLevel="0" collapsed="false">
      <c r="A117" s="4" t="n">
        <v>10265</v>
      </c>
      <c r="B117" s="4" t="s">
        <v>366</v>
      </c>
      <c r="C117" s="4" t="s">
        <v>183</v>
      </c>
      <c r="D117" s="4" t="s">
        <v>438</v>
      </c>
      <c r="E117" s="4" t="s">
        <v>65</v>
      </c>
      <c r="F117" s="4" t="n">
        <v>3</v>
      </c>
      <c r="G117" s="4" t="s">
        <v>439</v>
      </c>
      <c r="H117" s="4" t="s">
        <v>47</v>
      </c>
      <c r="I117" s="4" t="s">
        <v>440</v>
      </c>
      <c r="J117" s="6" t="n">
        <f aca="false">IFERROR(DATEVALUE(B117),"")</f>
        <v>45821</v>
      </c>
      <c r="K117" s="4" t="str">
        <f aca="false">IF(A117="","",PROPER(TRIM(C117)))</f>
        <v>West</v>
      </c>
      <c r="L117" s="4" t="str">
        <f aca="false">IF(A117="","",PROPER(TRIM(D117)))</f>
        <v>Footwear</v>
      </c>
      <c r="M117" s="4" t="n">
        <f aca="false">IFERROR(VALUE(F117),0)</f>
        <v>3</v>
      </c>
      <c r="N117" s="7" t="n">
        <f aca="false">IFERROR(VALUE(SUBSTITUTE(G117,"$","")),0)</f>
        <v>49.81</v>
      </c>
      <c r="O117" s="4" t="n">
        <f aca="false">IF(A117="",0,IF(COUNTIF($A$2:A117,A117)&gt;1,1,0))</f>
        <v>0</v>
      </c>
      <c r="P117" s="4" t="n">
        <f aca="false">IF(AND(A117&lt;&gt;"",J117&lt;&gt;"",M117&gt;0,N117&gt;0,O117=0),1,0)</f>
        <v>1</v>
      </c>
      <c r="Q117" s="7" t="n">
        <f aca="false">IF(P117=1,M117*N117,0)</f>
        <v>149.43</v>
      </c>
    </row>
    <row r="118" customFormat="false" ht="15" hidden="false" customHeight="false" outlineLevel="0" collapsed="false">
      <c r="A118" s="4" t="n">
        <v>10034</v>
      </c>
      <c r="B118" s="4" t="s">
        <v>441</v>
      </c>
      <c r="C118" s="4" t="s">
        <v>149</v>
      </c>
      <c r="D118" s="4" t="s">
        <v>64</v>
      </c>
      <c r="E118" s="4" t="s">
        <v>151</v>
      </c>
      <c r="F118" s="4" t="n">
        <v>3</v>
      </c>
      <c r="G118" s="4" t="s">
        <v>442</v>
      </c>
      <c r="H118" s="4" t="s">
        <v>54</v>
      </c>
      <c r="I118" s="4" t="s">
        <v>443</v>
      </c>
      <c r="J118" s="6" t="n">
        <f aca="false">IFERROR(DATEVALUE(B118),"")</f>
        <v>45809</v>
      </c>
      <c r="K118" s="4" t="str">
        <f aca="false">IF(A118="","",PROPER(TRIM(C118)))</f>
        <v>East</v>
      </c>
      <c r="L118" s="4" t="str">
        <f aca="false">IF(A118="","",PROPER(TRIM(D118)))</f>
        <v>Footwear</v>
      </c>
      <c r="M118" s="4" t="n">
        <f aca="false">IFERROR(VALUE(F118),0)</f>
        <v>3</v>
      </c>
      <c r="N118" s="7" t="n">
        <f aca="false">IFERROR(VALUE(SUBSTITUTE(G118,"$","")),0)</f>
        <v>162.51</v>
      </c>
      <c r="O118" s="4" t="n">
        <f aca="false">IF(A118="",0,IF(COUNTIF($A$2:A118,A118)&gt;1,1,0))</f>
        <v>0</v>
      </c>
      <c r="P118" s="4" t="n">
        <f aca="false">IF(AND(A118&lt;&gt;"",J118&lt;&gt;"",M118&gt;0,N118&gt;0,O118=0),1,0)</f>
        <v>1</v>
      </c>
      <c r="Q118" s="7" t="n">
        <f aca="false">IF(P118=1,M118*N118,0)</f>
        <v>487.53</v>
      </c>
    </row>
    <row r="119" customFormat="false" ht="15" hidden="false" customHeight="false" outlineLevel="0" collapsed="false">
      <c r="A119" s="4" t="n">
        <v>10277</v>
      </c>
      <c r="B119" s="4" t="s">
        <v>444</v>
      </c>
      <c r="C119" s="4" t="s">
        <v>93</v>
      </c>
      <c r="D119" s="4" t="s">
        <v>230</v>
      </c>
      <c r="E119" s="4" t="s">
        <v>142</v>
      </c>
      <c r="F119" s="4" t="n">
        <v>2</v>
      </c>
      <c r="G119" s="4" t="s">
        <v>445</v>
      </c>
      <c r="H119" s="4" t="s">
        <v>47</v>
      </c>
      <c r="I119" s="4" t="s">
        <v>446</v>
      </c>
      <c r="J119" s="6" t="n">
        <f aca="false">IFERROR(DATEVALUE(B119),"")</f>
        <v>45496</v>
      </c>
      <c r="K119" s="4" t="str">
        <f aca="false">IF(A119="","",PROPER(TRIM(C119)))</f>
        <v>West</v>
      </c>
      <c r="L119" s="4" t="str">
        <f aca="false">IF(A119="","",PROPER(TRIM(D119)))</f>
        <v>Apparel</v>
      </c>
      <c r="M119" s="4" t="n">
        <f aca="false">IFERROR(VALUE(F119),0)</f>
        <v>2</v>
      </c>
      <c r="N119" s="7" t="n">
        <f aca="false">IFERROR(VALUE(SUBSTITUTE(G119,"$","")),0)</f>
        <v>172.91</v>
      </c>
      <c r="O119" s="4" t="n">
        <f aca="false">IF(A119="",0,IF(COUNTIF($A$2:A119,A119)&gt;1,1,0))</f>
        <v>0</v>
      </c>
      <c r="P119" s="4" t="n">
        <f aca="false">IF(AND(A119&lt;&gt;"",J119&lt;&gt;"",M119&gt;0,N119&gt;0,O119=0),1,0)</f>
        <v>1</v>
      </c>
      <c r="Q119" s="7" t="n">
        <f aca="false">IF(P119=1,M119*N119,0)</f>
        <v>345.82</v>
      </c>
    </row>
    <row r="120" customFormat="false" ht="15" hidden="false" customHeight="false" outlineLevel="0" collapsed="false">
      <c r="A120" s="4" t="n">
        <v>10458</v>
      </c>
      <c r="B120" s="4" t="s">
        <v>447</v>
      </c>
      <c r="C120" s="4" t="s">
        <v>50</v>
      </c>
      <c r="D120" s="4" t="s">
        <v>171</v>
      </c>
      <c r="E120" s="4" t="s">
        <v>448</v>
      </c>
      <c r="F120" s="4" t="n">
        <v>1</v>
      </c>
      <c r="G120" s="4" t="s">
        <v>449</v>
      </c>
      <c r="H120" s="4" t="s">
        <v>73</v>
      </c>
      <c r="I120" s="4" t="s">
        <v>437</v>
      </c>
      <c r="J120" s="6" t="n">
        <f aca="false">IFERROR(DATEVALUE(B120),"")</f>
        <v>45411</v>
      </c>
      <c r="K120" s="4" t="str">
        <f aca="false">IF(A120="","",PROPER(TRIM(C120)))</f>
        <v>Midwest</v>
      </c>
      <c r="L120" s="4" t="str">
        <f aca="false">IF(A120="","",PROPER(TRIM(D120)))</f>
        <v>Camping Gear</v>
      </c>
      <c r="M120" s="4" t="n">
        <f aca="false">IFERROR(VALUE(F120),0)</f>
        <v>1</v>
      </c>
      <c r="N120" s="7" t="n">
        <f aca="false">IFERROR(VALUE(SUBSTITUTE(G120,"$","")),0)</f>
        <v>181.07</v>
      </c>
      <c r="O120" s="4" t="n">
        <f aca="false">IF(A120="",0,IF(COUNTIF($A$2:A120,A120)&gt;1,1,0))</f>
        <v>0</v>
      </c>
      <c r="P120" s="4" t="n">
        <f aca="false">IF(AND(A120&lt;&gt;"",J120&lt;&gt;"",M120&gt;0,N120&gt;0,O120=0),1,0)</f>
        <v>1</v>
      </c>
      <c r="Q120" s="7" t="n">
        <f aca="false">IF(P120=1,M120*N120,0)</f>
        <v>181.07</v>
      </c>
    </row>
    <row r="121" customFormat="false" ht="15" hidden="false" customHeight="false" outlineLevel="0" collapsed="false">
      <c r="A121" s="4" t="n">
        <v>10608</v>
      </c>
      <c r="B121" s="4" t="s">
        <v>450</v>
      </c>
      <c r="C121" s="4" t="s">
        <v>120</v>
      </c>
      <c r="D121" s="4" t="s">
        <v>64</v>
      </c>
      <c r="E121" s="4" t="s">
        <v>77</v>
      </c>
      <c r="F121" s="4" t="n">
        <v>1</v>
      </c>
      <c r="G121" s="4" t="s">
        <v>451</v>
      </c>
      <c r="H121" s="4" t="s">
        <v>54</v>
      </c>
      <c r="I121" s="4" t="s">
        <v>452</v>
      </c>
      <c r="J121" s="6" t="n">
        <f aca="false">IFERROR(DATEVALUE(B121),"")</f>
        <v>45360</v>
      </c>
      <c r="K121" s="4" t="str">
        <f aca="false">IF(A121="","",PROPER(TRIM(C121)))</f>
        <v>East</v>
      </c>
      <c r="L121" s="4" t="str">
        <f aca="false">IF(A121="","",PROPER(TRIM(D121)))</f>
        <v>Footwear</v>
      </c>
      <c r="M121" s="4" t="n">
        <f aca="false">IFERROR(VALUE(F121),0)</f>
        <v>1</v>
      </c>
      <c r="N121" s="7" t="n">
        <f aca="false">IFERROR(VALUE(SUBSTITUTE(G121,"$","")),0)</f>
        <v>126.28</v>
      </c>
      <c r="O121" s="4" t="n">
        <f aca="false">IF(A121="",0,IF(COUNTIF($A$2:A121,A121)&gt;1,1,0))</f>
        <v>0</v>
      </c>
      <c r="P121" s="4" t="n">
        <f aca="false">IF(AND(A121&lt;&gt;"",J121&lt;&gt;"",M121&gt;0,N121&gt;0,O121=0),1,0)</f>
        <v>1</v>
      </c>
      <c r="Q121" s="7" t="n">
        <f aca="false">IF(P121=1,M121*N121,0)</f>
        <v>126.28</v>
      </c>
    </row>
    <row r="122" customFormat="false" ht="15" hidden="false" customHeight="false" outlineLevel="0" collapsed="false">
      <c r="A122" s="4" t="n">
        <v>10143</v>
      </c>
      <c r="B122" s="4" t="s">
        <v>453</v>
      </c>
      <c r="C122" s="4" t="s">
        <v>229</v>
      </c>
      <c r="D122" s="4" t="s">
        <v>150</v>
      </c>
      <c r="E122" s="4" t="s">
        <v>77</v>
      </c>
      <c r="F122" s="4" t="n">
        <v>2</v>
      </c>
      <c r="G122" s="4" t="s">
        <v>454</v>
      </c>
      <c r="H122" s="4" t="s">
        <v>54</v>
      </c>
      <c r="I122" s="4" t="s">
        <v>455</v>
      </c>
      <c r="J122" s="6" t="n">
        <f aca="false">IFERROR(DATEVALUE(B122),"")</f>
        <v>45564</v>
      </c>
      <c r="K122" s="4" t="str">
        <f aca="false">IF(A122="","",PROPER(TRIM(C122)))</f>
        <v>Midwest</v>
      </c>
      <c r="L122" s="4" t="str">
        <f aca="false">IF(A122="","",PROPER(TRIM(D122)))</f>
        <v>Footwear</v>
      </c>
      <c r="M122" s="4" t="n">
        <f aca="false">IFERROR(VALUE(F122),0)</f>
        <v>2</v>
      </c>
      <c r="N122" s="7" t="n">
        <f aca="false">IFERROR(VALUE(SUBSTITUTE(G122,"$","")),0)</f>
        <v>118.11</v>
      </c>
      <c r="O122" s="4" t="n">
        <f aca="false">IF(A122="",0,IF(COUNTIF($A$2:A122,A122)&gt;1,1,0))</f>
        <v>0</v>
      </c>
      <c r="P122" s="4" t="n">
        <f aca="false">IF(AND(A122&lt;&gt;"",J122&lt;&gt;"",M122&gt;0,N122&gt;0,O122=0),1,0)</f>
        <v>1</v>
      </c>
      <c r="Q122" s="7" t="n">
        <f aca="false">IF(P122=1,M122*N122,0)</f>
        <v>236.22</v>
      </c>
    </row>
    <row r="123" customFormat="false" ht="15" hidden="false" customHeight="false" outlineLevel="0" collapsed="false">
      <c r="A123" s="4" t="n">
        <v>10290</v>
      </c>
      <c r="B123" s="4" t="s">
        <v>456</v>
      </c>
      <c r="C123" s="4" t="s">
        <v>229</v>
      </c>
      <c r="D123" s="4" t="s">
        <v>58</v>
      </c>
      <c r="E123" s="4" t="s">
        <v>94</v>
      </c>
      <c r="F123" s="4" t="n">
        <v>1</v>
      </c>
      <c r="G123" s="4" t="s">
        <v>457</v>
      </c>
      <c r="H123" s="4" t="s">
        <v>54</v>
      </c>
      <c r="I123" s="4" t="s">
        <v>458</v>
      </c>
      <c r="J123" s="6" t="n">
        <f aca="false">IFERROR(DATEVALUE(B123),"")</f>
        <v>45505</v>
      </c>
      <c r="K123" s="4" t="str">
        <f aca="false">IF(A123="","",PROPER(TRIM(C123)))</f>
        <v>Midwest</v>
      </c>
      <c r="L123" s="4" t="str">
        <f aca="false">IF(A123="","",PROPER(TRIM(D123)))</f>
        <v>Climbing Gear</v>
      </c>
      <c r="M123" s="4" t="n">
        <f aca="false">IFERROR(VALUE(F123),0)</f>
        <v>1</v>
      </c>
      <c r="N123" s="7" t="n">
        <f aca="false">IFERROR(VALUE(SUBSTITUTE(G123,"$","")),0)</f>
        <v>148.25</v>
      </c>
      <c r="O123" s="4" t="n">
        <f aca="false">IF(A123="",0,IF(COUNTIF($A$2:A123,A123)&gt;1,1,0))</f>
        <v>0</v>
      </c>
      <c r="P123" s="4" t="n">
        <f aca="false">IF(AND(A123&lt;&gt;"",J123&lt;&gt;"",M123&gt;0,N123&gt;0,O123=0),1,0)</f>
        <v>1</v>
      </c>
      <c r="Q123" s="7" t="n">
        <f aca="false">IF(P123=1,M123*N123,0)</f>
        <v>148.25</v>
      </c>
    </row>
    <row r="124" customFormat="false" ht="15" hidden="false" customHeight="false" outlineLevel="0" collapsed="false">
      <c r="A124" s="4" t="n">
        <v>10021</v>
      </c>
      <c r="B124" s="4" t="s">
        <v>459</v>
      </c>
      <c r="C124" s="4" t="s">
        <v>155</v>
      </c>
      <c r="D124" s="4" t="s">
        <v>64</v>
      </c>
      <c r="E124" s="4" t="s">
        <v>151</v>
      </c>
      <c r="F124" s="4" t="n">
        <v>2</v>
      </c>
      <c r="G124" s="4" t="s">
        <v>460</v>
      </c>
      <c r="H124" s="4" t="s">
        <v>73</v>
      </c>
      <c r="I124" s="4" t="s">
        <v>461</v>
      </c>
      <c r="J124" s="6" t="n">
        <f aca="false">IFERROR(DATEVALUE(B124),"")</f>
        <v>45356</v>
      </c>
      <c r="K124" s="4" t="str">
        <f aca="false">IF(A124="","",PROPER(TRIM(C124)))</f>
        <v>South</v>
      </c>
      <c r="L124" s="4" t="str">
        <f aca="false">IF(A124="","",PROPER(TRIM(D124)))</f>
        <v>Footwear</v>
      </c>
      <c r="M124" s="4" t="n">
        <f aca="false">IFERROR(VALUE(F124),0)</f>
        <v>2</v>
      </c>
      <c r="N124" s="7" t="n">
        <f aca="false">IFERROR(VALUE(SUBSTITUTE(G124,"$","")),0)</f>
        <v>156.05</v>
      </c>
      <c r="O124" s="4" t="n">
        <f aca="false">IF(A124="",0,IF(COUNTIF($A$2:A124,A124)&gt;1,1,0))</f>
        <v>0</v>
      </c>
      <c r="P124" s="4" t="n">
        <f aca="false">IF(AND(A124&lt;&gt;"",J124&lt;&gt;"",M124&gt;0,N124&gt;0,O124=0),1,0)</f>
        <v>1</v>
      </c>
      <c r="Q124" s="7" t="n">
        <f aca="false">IF(P124=1,M124*N124,0)</f>
        <v>312.1</v>
      </c>
    </row>
    <row r="125" customFormat="false" ht="15" hidden="false" customHeight="false" outlineLevel="0" collapsed="false">
      <c r="A125" s="4" t="n">
        <v>10738</v>
      </c>
      <c r="B125" s="4" t="s">
        <v>462</v>
      </c>
      <c r="C125" s="4" t="s">
        <v>110</v>
      </c>
      <c r="D125" s="4" t="s">
        <v>164</v>
      </c>
      <c r="E125" s="4" t="s">
        <v>89</v>
      </c>
      <c r="F125" s="4" t="n">
        <v>1</v>
      </c>
      <c r="G125" s="4" t="s">
        <v>463</v>
      </c>
      <c r="H125" s="4" t="s">
        <v>73</v>
      </c>
      <c r="I125" s="4" t="s">
        <v>464</v>
      </c>
      <c r="J125" s="6" t="n">
        <f aca="false">IFERROR(DATEVALUE(B125),"")</f>
        <v>45487</v>
      </c>
      <c r="K125" s="4" t="str">
        <f aca="false">IF(A125="","",PROPER(TRIM(C125)))</f>
        <v>Midwest</v>
      </c>
      <c r="L125" s="4" t="str">
        <f aca="false">IF(A125="","",PROPER(TRIM(D125)))</f>
        <v>Apparel</v>
      </c>
      <c r="M125" s="4" t="n">
        <f aca="false">IFERROR(VALUE(F125),0)</f>
        <v>1</v>
      </c>
      <c r="N125" s="7" t="n">
        <f aca="false">IFERROR(VALUE(SUBSTITUTE(G125,"$","")),0)</f>
        <v>58.76</v>
      </c>
      <c r="O125" s="4" t="n">
        <f aca="false">IF(A125="",0,IF(COUNTIF($A$2:A125,A125)&gt;1,1,0))</f>
        <v>0</v>
      </c>
      <c r="P125" s="4" t="n">
        <f aca="false">IF(AND(A125&lt;&gt;"",J125&lt;&gt;"",M125&gt;0,N125&gt;0,O125=0),1,0)</f>
        <v>1</v>
      </c>
      <c r="Q125" s="7" t="n">
        <f aca="false">IF(P125=1,M125*N125,0)</f>
        <v>58.76</v>
      </c>
    </row>
    <row r="126" customFormat="false" ht="15" hidden="false" customHeight="false" outlineLevel="0" collapsed="false">
      <c r="A126" s="4" t="n">
        <v>10035</v>
      </c>
      <c r="B126" s="4" t="s">
        <v>465</v>
      </c>
      <c r="C126" s="4" t="s">
        <v>93</v>
      </c>
      <c r="D126" s="4" t="s">
        <v>438</v>
      </c>
      <c r="E126" s="4" t="s">
        <v>77</v>
      </c>
      <c r="F126" s="4" t="n">
        <v>3</v>
      </c>
      <c r="G126" s="4" t="s">
        <v>466</v>
      </c>
      <c r="H126" s="4" t="s">
        <v>73</v>
      </c>
      <c r="I126" s="4" t="s">
        <v>467</v>
      </c>
      <c r="J126" s="6" t="n">
        <f aca="false">IFERROR(DATEVALUE(B126),"")</f>
        <v>45661</v>
      </c>
      <c r="K126" s="4" t="str">
        <f aca="false">IF(A126="","",PROPER(TRIM(C126)))</f>
        <v>West</v>
      </c>
      <c r="L126" s="4" t="str">
        <f aca="false">IF(A126="","",PROPER(TRIM(D126)))</f>
        <v>Footwear</v>
      </c>
      <c r="M126" s="4" t="n">
        <f aca="false">IFERROR(VALUE(F126),0)</f>
        <v>3</v>
      </c>
      <c r="N126" s="7" t="n">
        <f aca="false">IFERROR(VALUE(SUBSTITUTE(G126,"$","")),0)</f>
        <v>121.32</v>
      </c>
      <c r="O126" s="4" t="n">
        <f aca="false">IF(A126="",0,IF(COUNTIF($A$2:A126,A126)&gt;1,1,0))</f>
        <v>0</v>
      </c>
      <c r="P126" s="4" t="n">
        <f aca="false">IF(AND(A126&lt;&gt;"",J126&lt;&gt;"",M126&gt;0,N126&gt;0,O126=0),1,0)</f>
        <v>1</v>
      </c>
      <c r="Q126" s="7" t="n">
        <f aca="false">IF(P126=1,M126*N126,0)</f>
        <v>363.96</v>
      </c>
    </row>
    <row r="127" customFormat="false" ht="15" hidden="false" customHeight="false" outlineLevel="0" collapsed="false">
      <c r="A127" s="4" t="n">
        <v>10271</v>
      </c>
      <c r="B127" s="4" t="s">
        <v>468</v>
      </c>
      <c r="C127" s="4" t="s">
        <v>110</v>
      </c>
      <c r="D127" s="4" t="s">
        <v>101</v>
      </c>
      <c r="E127" s="4" t="s">
        <v>210</v>
      </c>
      <c r="F127" s="4" t="n">
        <v>1</v>
      </c>
      <c r="G127" s="4" t="s">
        <v>469</v>
      </c>
      <c r="H127" s="4" t="s">
        <v>73</v>
      </c>
      <c r="I127" s="4" t="s">
        <v>470</v>
      </c>
      <c r="J127" s="6" t="n">
        <f aca="false">IFERROR(DATEVALUE(B127),"")</f>
        <v>45615</v>
      </c>
      <c r="K127" s="4" t="str">
        <f aca="false">IF(A127="","",PROPER(TRIM(C127)))</f>
        <v>Midwest</v>
      </c>
      <c r="L127" s="4" t="str">
        <f aca="false">IF(A127="","",PROPER(TRIM(D127)))</f>
        <v>Accessories</v>
      </c>
      <c r="M127" s="4" t="n">
        <f aca="false">IFERROR(VALUE(F127),0)</f>
        <v>1</v>
      </c>
      <c r="N127" s="7" t="n">
        <f aca="false">IFERROR(VALUE(SUBSTITUTE(G127,"$","")),0)</f>
        <v>36.98</v>
      </c>
      <c r="O127" s="4" t="n">
        <f aca="false">IF(A127="",0,IF(COUNTIF($A$2:A127,A127)&gt;1,1,0))</f>
        <v>0</v>
      </c>
      <c r="P127" s="4" t="n">
        <f aca="false">IF(AND(A127&lt;&gt;"",J127&lt;&gt;"",M127&gt;0,N127&gt;0,O127=0),1,0)</f>
        <v>1</v>
      </c>
      <c r="Q127" s="7" t="n">
        <f aca="false">IF(P127=1,M127*N127,0)</f>
        <v>36.98</v>
      </c>
    </row>
    <row r="128" customFormat="false" ht="15" hidden="false" customHeight="false" outlineLevel="0" collapsed="false">
      <c r="A128" s="4" t="n">
        <v>10483</v>
      </c>
      <c r="B128" s="4" t="s">
        <v>471</v>
      </c>
      <c r="C128" s="4" t="s">
        <v>110</v>
      </c>
      <c r="D128" s="4" t="s">
        <v>438</v>
      </c>
      <c r="E128" s="4" t="s">
        <v>111</v>
      </c>
      <c r="F128" s="4" t="n">
        <v>1</v>
      </c>
      <c r="G128" s="4" t="s">
        <v>472</v>
      </c>
      <c r="H128" s="4" t="s">
        <v>73</v>
      </c>
      <c r="I128" s="4" t="s">
        <v>473</v>
      </c>
      <c r="J128" s="6" t="n">
        <f aca="false">IFERROR(DATEVALUE(B128),"")</f>
        <v>45623</v>
      </c>
      <c r="K128" s="4" t="str">
        <f aca="false">IF(A128="","",PROPER(TRIM(C128)))</f>
        <v>Midwest</v>
      </c>
      <c r="L128" s="4" t="str">
        <f aca="false">IF(A128="","",PROPER(TRIM(D128)))</f>
        <v>Footwear</v>
      </c>
      <c r="M128" s="4" t="n">
        <f aca="false">IFERROR(VALUE(F128),0)</f>
        <v>1</v>
      </c>
      <c r="N128" s="7" t="n">
        <f aca="false">IFERROR(VALUE(SUBSTITUTE(G128,"$","")),0)</f>
        <v>102.41</v>
      </c>
      <c r="O128" s="4" t="n">
        <f aca="false">IF(A128="",0,IF(COUNTIF($A$2:A128,A128)&gt;1,1,0))</f>
        <v>0</v>
      </c>
      <c r="P128" s="4" t="n">
        <f aca="false">IF(AND(A128&lt;&gt;"",J128&lt;&gt;"",M128&gt;0,N128&gt;0,O128=0),1,0)</f>
        <v>1</v>
      </c>
      <c r="Q128" s="7" t="n">
        <f aca="false">IF(P128=1,M128*N128,0)</f>
        <v>102.41</v>
      </c>
    </row>
    <row r="129" customFormat="false" ht="15" hidden="false" customHeight="false" outlineLevel="0" collapsed="false">
      <c r="A129" s="4" t="n">
        <v>10465</v>
      </c>
      <c r="B129" s="4" t="s">
        <v>474</v>
      </c>
      <c r="C129" s="4" t="s">
        <v>69</v>
      </c>
      <c r="D129" s="4" t="s">
        <v>64</v>
      </c>
      <c r="E129" s="4" t="s">
        <v>77</v>
      </c>
      <c r="F129" s="4" t="n">
        <v>2</v>
      </c>
      <c r="G129" s="4" t="s">
        <v>475</v>
      </c>
      <c r="H129" s="4" t="s">
        <v>47</v>
      </c>
      <c r="I129" s="4" t="s">
        <v>476</v>
      </c>
      <c r="J129" s="6" t="n">
        <f aca="false">IFERROR(DATEVALUE(B129),"")</f>
        <v>45336</v>
      </c>
      <c r="K129" s="4" t="str">
        <f aca="false">IF(A129="","",PROPER(TRIM(C129)))</f>
        <v>East</v>
      </c>
      <c r="L129" s="4" t="str">
        <f aca="false">IF(A129="","",PROPER(TRIM(D129)))</f>
        <v>Footwear</v>
      </c>
      <c r="M129" s="4" t="n">
        <f aca="false">IFERROR(VALUE(F129),0)</f>
        <v>2</v>
      </c>
      <c r="N129" s="7" t="n">
        <f aca="false">IFERROR(VALUE(SUBSTITUTE(G129,"$","")),0)</f>
        <v>134.17</v>
      </c>
      <c r="O129" s="4" t="n">
        <f aca="false">IF(A129="",0,IF(COUNTIF($A$2:A129,A129)&gt;1,1,0))</f>
        <v>0</v>
      </c>
      <c r="P129" s="4" t="n">
        <f aca="false">IF(AND(A129&lt;&gt;"",J129&lt;&gt;"",M129&gt;0,N129&gt;0,O129=0),1,0)</f>
        <v>1</v>
      </c>
      <c r="Q129" s="7" t="n">
        <f aca="false">IF(P129=1,M129*N129,0)</f>
        <v>268.34</v>
      </c>
    </row>
    <row r="130" customFormat="false" ht="15" hidden="false" customHeight="false" outlineLevel="0" collapsed="false">
      <c r="A130" s="4" t="n">
        <v>10330</v>
      </c>
      <c r="B130" s="4" t="s">
        <v>477</v>
      </c>
      <c r="C130" s="4" t="s">
        <v>149</v>
      </c>
      <c r="D130" s="4" t="s">
        <v>129</v>
      </c>
      <c r="E130" s="4" t="s">
        <v>125</v>
      </c>
      <c r="F130" s="4" t="n">
        <v>1</v>
      </c>
      <c r="G130" s="4" t="s">
        <v>478</v>
      </c>
      <c r="H130" s="4" t="s">
        <v>47</v>
      </c>
      <c r="I130" s="4" t="s">
        <v>479</v>
      </c>
      <c r="J130" s="6" t="n">
        <f aca="false">IFERROR(DATEVALUE(B130),"")</f>
        <v>45524</v>
      </c>
      <c r="K130" s="4" t="str">
        <f aca="false">IF(A130="","",PROPER(TRIM(C130)))</f>
        <v>East</v>
      </c>
      <c r="L130" s="4" t="str">
        <f aca="false">IF(A130="","",PROPER(TRIM(D130)))</f>
        <v>Climbing Gear</v>
      </c>
      <c r="M130" s="4" t="n">
        <f aca="false">IFERROR(VALUE(F130),0)</f>
        <v>1</v>
      </c>
      <c r="N130" s="7" t="n">
        <f aca="false">IFERROR(VALUE(SUBSTITUTE(G130,"$","")),0)</f>
        <v>106.4</v>
      </c>
      <c r="O130" s="4" t="n">
        <f aca="false">IF(A130="",0,IF(COUNTIF($A$2:A130,A130)&gt;1,1,0))</f>
        <v>0</v>
      </c>
      <c r="P130" s="4" t="n">
        <f aca="false">IF(AND(A130&lt;&gt;"",J130&lt;&gt;"",M130&gt;0,N130&gt;0,O130=0),1,0)</f>
        <v>1</v>
      </c>
      <c r="Q130" s="7" t="n">
        <f aca="false">IF(P130=1,M130*N130,0)</f>
        <v>106.4</v>
      </c>
    </row>
    <row r="131" customFormat="false" ht="15" hidden="false" customHeight="false" outlineLevel="0" collapsed="false">
      <c r="A131" s="4" t="n">
        <v>10284</v>
      </c>
      <c r="B131" s="4" t="s">
        <v>480</v>
      </c>
      <c r="C131" s="4" t="s">
        <v>332</v>
      </c>
      <c r="D131" s="4" t="s">
        <v>124</v>
      </c>
      <c r="E131" s="4" t="s">
        <v>59</v>
      </c>
      <c r="F131" s="4" t="n">
        <v>2</v>
      </c>
      <c r="G131" s="4" t="s">
        <v>481</v>
      </c>
      <c r="H131" s="4" t="s">
        <v>73</v>
      </c>
      <c r="I131" s="4" t="s">
        <v>482</v>
      </c>
      <c r="J131" s="6" t="n">
        <f aca="false">IFERROR(DATEVALUE(B131),"")</f>
        <v>45547</v>
      </c>
      <c r="K131" s="4" t="str">
        <f aca="false">IF(A131="","",PROPER(TRIM(C131)))</f>
        <v>West</v>
      </c>
      <c r="L131" s="4" t="str">
        <f aca="false">IF(A131="","",PROPER(TRIM(D131)))</f>
        <v>Climbing Gear</v>
      </c>
      <c r="M131" s="4" t="n">
        <f aca="false">IFERROR(VALUE(F131),0)</f>
        <v>2</v>
      </c>
      <c r="N131" s="7" t="n">
        <f aca="false">IFERROR(VALUE(SUBSTITUTE(G131,"$","")),0)</f>
        <v>38.73</v>
      </c>
      <c r="O131" s="4" t="n">
        <f aca="false">IF(A131="",0,IF(COUNTIF($A$2:A131,A131)&gt;1,1,0))</f>
        <v>0</v>
      </c>
      <c r="P131" s="4" t="n">
        <f aca="false">IF(AND(A131&lt;&gt;"",J131&lt;&gt;"",M131&gt;0,N131&gt;0,O131=0),1,0)</f>
        <v>1</v>
      </c>
      <c r="Q131" s="7" t="n">
        <f aca="false">IF(P131=1,M131*N131,0)</f>
        <v>77.46</v>
      </c>
    </row>
    <row r="132" customFormat="false" ht="15" hidden="false" customHeight="false" outlineLevel="0" collapsed="false">
      <c r="A132" s="4" t="n">
        <v>10749</v>
      </c>
      <c r="B132" s="4" t="s">
        <v>483</v>
      </c>
      <c r="C132" s="4" t="s">
        <v>149</v>
      </c>
      <c r="D132" s="4" t="s">
        <v>202</v>
      </c>
      <c r="E132" s="4" t="s">
        <v>251</v>
      </c>
      <c r="F132" s="4" t="n">
        <v>4</v>
      </c>
      <c r="G132" s="4" t="s">
        <v>484</v>
      </c>
      <c r="H132" s="4" t="s">
        <v>73</v>
      </c>
      <c r="I132" s="4" t="s">
        <v>485</v>
      </c>
      <c r="J132" s="6" t="n">
        <f aca="false">IFERROR(DATEVALUE(B132),"")</f>
        <v>45372</v>
      </c>
      <c r="K132" s="4" t="str">
        <f aca="false">IF(A132="","",PROPER(TRIM(C132)))</f>
        <v>East</v>
      </c>
      <c r="L132" s="4" t="str">
        <f aca="false">IF(A132="","",PROPER(TRIM(D132)))</f>
        <v>Camping Gear</v>
      </c>
      <c r="M132" s="4" t="n">
        <f aca="false">IFERROR(VALUE(F132),0)</f>
        <v>4</v>
      </c>
      <c r="N132" s="7" t="n">
        <f aca="false">IFERROR(VALUE(SUBSTITUTE(G132,"$","")),0)</f>
        <v>75.33</v>
      </c>
      <c r="O132" s="4" t="n">
        <f aca="false">IF(A132="",0,IF(COUNTIF($A$2:A132,A132)&gt;1,1,0))</f>
        <v>0</v>
      </c>
      <c r="P132" s="4" t="n">
        <f aca="false">IF(AND(A132&lt;&gt;"",J132&lt;&gt;"",M132&gt;0,N132&gt;0,O132=0),1,0)</f>
        <v>1</v>
      </c>
      <c r="Q132" s="7" t="n">
        <f aca="false">IF(P132=1,M132*N132,0)</f>
        <v>301.32</v>
      </c>
    </row>
    <row r="133" customFormat="false" ht="15" hidden="false" customHeight="false" outlineLevel="0" collapsed="false">
      <c r="A133" s="4" t="n">
        <v>10479</v>
      </c>
      <c r="B133" s="4" t="s">
        <v>486</v>
      </c>
      <c r="C133" s="4" t="s">
        <v>50</v>
      </c>
      <c r="D133" s="4" t="s">
        <v>387</v>
      </c>
      <c r="E133" s="4" t="s">
        <v>448</v>
      </c>
      <c r="F133" s="4" t="n">
        <v>1</v>
      </c>
      <c r="G133" s="4" t="s">
        <v>487</v>
      </c>
      <c r="H133" s="4" t="s">
        <v>54</v>
      </c>
      <c r="I133" s="4" t="s">
        <v>488</v>
      </c>
      <c r="J133" s="6" t="n">
        <f aca="false">IFERROR(DATEVALUE(B133),"")</f>
        <v>45829</v>
      </c>
      <c r="K133" s="4" t="str">
        <f aca="false">IF(A133="","",PROPER(TRIM(C133)))</f>
        <v>Midwest</v>
      </c>
      <c r="L133" s="4" t="str">
        <f aca="false">IF(A133="","",PROPER(TRIM(D133)))</f>
        <v>Camping Gear</v>
      </c>
      <c r="M133" s="4" t="n">
        <f aca="false">IFERROR(VALUE(F133),0)</f>
        <v>1</v>
      </c>
      <c r="N133" s="7" t="n">
        <f aca="false">IFERROR(VALUE(SUBSTITUTE(G133,"$","")),0)</f>
        <v>217.43</v>
      </c>
      <c r="O133" s="4" t="n">
        <f aca="false">IF(A133="",0,IF(COUNTIF($A$2:A133,A133)&gt;1,1,0))</f>
        <v>0</v>
      </c>
      <c r="P133" s="4" t="n">
        <f aca="false">IF(AND(A133&lt;&gt;"",J133&lt;&gt;"",M133&gt;0,N133&gt;0,O133=0),1,0)</f>
        <v>1</v>
      </c>
      <c r="Q133" s="7" t="n">
        <f aca="false">IF(P133=1,M133*N133,0)</f>
        <v>217.43</v>
      </c>
    </row>
    <row r="134" customFormat="false" ht="15" hidden="false" customHeight="false" outlineLevel="0" collapsed="false">
      <c r="A134" s="4" t="n">
        <v>10161</v>
      </c>
      <c r="B134" s="4" t="s">
        <v>489</v>
      </c>
      <c r="C134" s="4" t="s">
        <v>93</v>
      </c>
      <c r="D134" s="4" t="s">
        <v>179</v>
      </c>
      <c r="E134" s="4" t="s">
        <v>125</v>
      </c>
      <c r="F134" s="4" t="n">
        <v>1</v>
      </c>
      <c r="G134" s="4" t="s">
        <v>490</v>
      </c>
      <c r="H134" s="4" t="s">
        <v>47</v>
      </c>
      <c r="I134" s="4" t="s">
        <v>491</v>
      </c>
      <c r="J134" s="6" t="n">
        <f aca="false">IFERROR(DATEVALUE(B134),"")</f>
        <v>45541</v>
      </c>
      <c r="K134" s="4" t="str">
        <f aca="false">IF(A134="","",PROPER(TRIM(C134)))</f>
        <v>West</v>
      </c>
      <c r="L134" s="4" t="str">
        <f aca="false">IF(A134="","",PROPER(TRIM(D134)))</f>
        <v>Climbing Gear</v>
      </c>
      <c r="M134" s="4" t="n">
        <f aca="false">IFERROR(VALUE(F134),0)</f>
        <v>1</v>
      </c>
      <c r="N134" s="7" t="n">
        <f aca="false">IFERROR(VALUE(SUBSTITUTE(G134,"$","")),0)</f>
        <v>104.32</v>
      </c>
      <c r="O134" s="4" t="n">
        <f aca="false">IF(A134="",0,IF(COUNTIF($A$2:A134,A134)&gt;1,1,0))</f>
        <v>0</v>
      </c>
      <c r="P134" s="4" t="n">
        <f aca="false">IF(AND(A134&lt;&gt;"",J134&lt;&gt;"",M134&gt;0,N134&gt;0,O134=0),1,0)</f>
        <v>1</v>
      </c>
      <c r="Q134" s="7" t="n">
        <f aca="false">IF(P134=1,M134*N134,0)</f>
        <v>104.32</v>
      </c>
    </row>
    <row r="135" customFormat="false" ht="15" hidden="false" customHeight="false" outlineLevel="0" collapsed="false">
      <c r="A135" s="4" t="n">
        <v>10715</v>
      </c>
      <c r="B135" s="4" t="s">
        <v>492</v>
      </c>
      <c r="C135" s="4" t="s">
        <v>149</v>
      </c>
      <c r="D135" s="4" t="s">
        <v>64</v>
      </c>
      <c r="E135" s="4" t="s">
        <v>65</v>
      </c>
      <c r="F135" s="4" t="n">
        <v>2</v>
      </c>
      <c r="G135" s="4" t="s">
        <v>493</v>
      </c>
      <c r="H135" s="4" t="s">
        <v>73</v>
      </c>
      <c r="I135" s="4" t="s">
        <v>494</v>
      </c>
      <c r="J135" s="6" t="n">
        <f aca="false">IFERROR(DATEVALUE(B135),"")</f>
        <v>45797</v>
      </c>
      <c r="K135" s="4" t="str">
        <f aca="false">IF(A135="","",PROPER(TRIM(C135)))</f>
        <v>East</v>
      </c>
      <c r="L135" s="4" t="str">
        <f aca="false">IF(A135="","",PROPER(TRIM(D135)))</f>
        <v>Footwear</v>
      </c>
      <c r="M135" s="4" t="n">
        <f aca="false">IFERROR(VALUE(F135),0)</f>
        <v>2</v>
      </c>
      <c r="N135" s="7" t="n">
        <f aca="false">IFERROR(VALUE(SUBSTITUTE(G135,"$","")),0)</f>
        <v>56.55</v>
      </c>
      <c r="O135" s="4" t="n">
        <f aca="false">IF(A135="",0,IF(COUNTIF($A$2:A135,A135)&gt;1,1,0))</f>
        <v>0</v>
      </c>
      <c r="P135" s="4" t="n">
        <f aca="false">IF(AND(A135&lt;&gt;"",J135&lt;&gt;"",M135&gt;0,N135&gt;0,O135=0),1,0)</f>
        <v>1</v>
      </c>
      <c r="Q135" s="7" t="n">
        <f aca="false">IF(P135=1,M135*N135,0)</f>
        <v>113.1</v>
      </c>
    </row>
    <row r="136" customFormat="false" ht="15" hidden="false" customHeight="false" outlineLevel="0" collapsed="false">
      <c r="A136" s="4" t="n">
        <v>10763</v>
      </c>
      <c r="B136" s="4" t="s">
        <v>483</v>
      </c>
      <c r="C136" s="4" t="s">
        <v>178</v>
      </c>
      <c r="D136" s="4" t="s">
        <v>333</v>
      </c>
      <c r="E136" s="4" t="s">
        <v>160</v>
      </c>
      <c r="F136" s="4" t="n">
        <v>4</v>
      </c>
      <c r="G136" s="4" t="s">
        <v>495</v>
      </c>
      <c r="H136" s="4" t="s">
        <v>47</v>
      </c>
      <c r="I136" s="4" t="s">
        <v>496</v>
      </c>
      <c r="J136" s="6" t="n">
        <f aca="false">IFERROR(DATEVALUE(B136),"")</f>
        <v>45372</v>
      </c>
      <c r="K136" s="4" t="str">
        <f aca="false">IF(A136="","",PROPER(TRIM(C136)))</f>
        <v>South</v>
      </c>
      <c r="L136" s="4" t="str">
        <f aca="false">IF(A136="","",PROPER(TRIM(D136)))</f>
        <v>Accessories</v>
      </c>
      <c r="M136" s="4" t="n">
        <f aca="false">IFERROR(VALUE(F136),0)</f>
        <v>4</v>
      </c>
      <c r="N136" s="7" t="n">
        <f aca="false">IFERROR(VALUE(SUBSTITUTE(G136,"$","")),0)</f>
        <v>24.54</v>
      </c>
      <c r="O136" s="4" t="n">
        <f aca="false">IF(A136="",0,IF(COUNTIF($A$2:A136,A136)&gt;1,1,0))</f>
        <v>0</v>
      </c>
      <c r="P136" s="4" t="n">
        <f aca="false">IF(AND(A136&lt;&gt;"",J136&lt;&gt;"",M136&gt;0,N136&gt;0,O136=0),1,0)</f>
        <v>1</v>
      </c>
      <c r="Q136" s="7" t="n">
        <f aca="false">IF(P136=1,M136*N136,0)</f>
        <v>98.16</v>
      </c>
    </row>
    <row r="137" customFormat="false" ht="15" hidden="false" customHeight="false" outlineLevel="0" collapsed="false">
      <c r="A137" s="4" t="n">
        <v>10530</v>
      </c>
      <c r="B137" s="4" t="s">
        <v>497</v>
      </c>
      <c r="C137" s="4" t="s">
        <v>183</v>
      </c>
      <c r="D137" s="4" t="s">
        <v>101</v>
      </c>
      <c r="E137" s="4" t="s">
        <v>160</v>
      </c>
      <c r="F137" s="4" t="n">
        <v>2</v>
      </c>
      <c r="G137" s="4" t="s">
        <v>498</v>
      </c>
      <c r="H137" s="4" t="s">
        <v>54</v>
      </c>
      <c r="I137" s="4" t="s">
        <v>499</v>
      </c>
      <c r="J137" s="6" t="n">
        <f aca="false">IFERROR(DATEVALUE(B137),"")</f>
        <v>45823</v>
      </c>
      <c r="K137" s="4" t="str">
        <f aca="false">IF(A137="","",PROPER(TRIM(C137)))</f>
        <v>West</v>
      </c>
      <c r="L137" s="4" t="str">
        <f aca="false">IF(A137="","",PROPER(TRIM(D137)))</f>
        <v>Accessories</v>
      </c>
      <c r="M137" s="4" t="n">
        <f aca="false">IFERROR(VALUE(F137),0)</f>
        <v>2</v>
      </c>
      <c r="N137" s="7" t="n">
        <f aca="false">IFERROR(VALUE(SUBSTITUTE(G137,"$","")),0)</f>
        <v>26.14</v>
      </c>
      <c r="O137" s="4" t="n">
        <f aca="false">IF(A137="",0,IF(COUNTIF($A$2:A137,A137)&gt;1,1,0))</f>
        <v>0</v>
      </c>
      <c r="P137" s="4" t="n">
        <f aca="false">IF(AND(A137&lt;&gt;"",J137&lt;&gt;"",M137&gt;0,N137&gt;0,O137=0),1,0)</f>
        <v>1</v>
      </c>
      <c r="Q137" s="7" t="n">
        <f aca="false">IF(P137=1,M137*N137,0)</f>
        <v>52.28</v>
      </c>
    </row>
    <row r="138" customFormat="false" ht="15" hidden="false" customHeight="false" outlineLevel="0" collapsed="false">
      <c r="A138" s="4" t="n">
        <v>10450</v>
      </c>
      <c r="B138" s="4" t="s">
        <v>500</v>
      </c>
      <c r="C138" s="4" t="s">
        <v>155</v>
      </c>
      <c r="D138" s="4" t="s">
        <v>387</v>
      </c>
      <c r="E138" s="4" t="s">
        <v>71</v>
      </c>
      <c r="F138" s="4" t="n">
        <v>1</v>
      </c>
      <c r="G138" s="4" t="s">
        <v>501</v>
      </c>
      <c r="H138" s="4" t="s">
        <v>47</v>
      </c>
      <c r="I138" s="4" t="s">
        <v>502</v>
      </c>
      <c r="J138" s="6" t="n">
        <f aca="false">IFERROR(DATEVALUE(B138),"")</f>
        <v>45624</v>
      </c>
      <c r="K138" s="4" t="str">
        <f aca="false">IF(A138="","",PROPER(TRIM(C138)))</f>
        <v>South</v>
      </c>
      <c r="L138" s="4" t="str">
        <f aca="false">IF(A138="","",PROPER(TRIM(D138)))</f>
        <v>Camping Gear</v>
      </c>
      <c r="M138" s="4" t="n">
        <f aca="false">IFERROR(VALUE(F138),0)</f>
        <v>1</v>
      </c>
      <c r="N138" s="7" t="n">
        <f aca="false">IFERROR(VALUE(SUBSTITUTE(G138,"$","")),0)</f>
        <v>59.58</v>
      </c>
      <c r="O138" s="4" t="n">
        <f aca="false">IF(A138="",0,IF(COUNTIF($A$2:A138,A138)&gt;1,1,0))</f>
        <v>0</v>
      </c>
      <c r="P138" s="4" t="n">
        <f aca="false">IF(AND(A138&lt;&gt;"",J138&lt;&gt;"",M138&gt;0,N138&gt;0,O138=0),1,0)</f>
        <v>1</v>
      </c>
      <c r="Q138" s="7" t="n">
        <f aca="false">IF(P138=1,M138*N138,0)</f>
        <v>59.58</v>
      </c>
    </row>
    <row r="139" customFormat="false" ht="15" hidden="false" customHeight="false" outlineLevel="0" collapsed="false">
      <c r="A139" s="4" t="n">
        <v>10343</v>
      </c>
      <c r="B139" s="4" t="s">
        <v>503</v>
      </c>
      <c r="C139" s="4" t="s">
        <v>435</v>
      </c>
      <c r="D139" s="4" t="s">
        <v>124</v>
      </c>
      <c r="E139" s="4" t="s">
        <v>125</v>
      </c>
      <c r="F139" s="4" t="n">
        <v>1</v>
      </c>
      <c r="G139" s="4" t="s">
        <v>504</v>
      </c>
      <c r="H139" s="4" t="s">
        <v>73</v>
      </c>
      <c r="I139" s="4" t="s">
        <v>505</v>
      </c>
      <c r="J139" s="6" t="n">
        <f aca="false">IFERROR(DATEVALUE(B139),"")</f>
        <v>45304</v>
      </c>
      <c r="K139" s="4" t="str">
        <f aca="false">IF(A139="","",PROPER(TRIM(C139)))</f>
        <v>Midwest</v>
      </c>
      <c r="L139" s="4" t="str">
        <f aca="false">IF(A139="","",PROPER(TRIM(D139)))</f>
        <v>Climbing Gear</v>
      </c>
      <c r="M139" s="4" t="n">
        <f aca="false">IFERROR(VALUE(F139),0)</f>
        <v>1</v>
      </c>
      <c r="N139" s="7" t="n">
        <f aca="false">IFERROR(VALUE(SUBSTITUTE(G139,"$","")),0)</f>
        <v>94.11</v>
      </c>
      <c r="O139" s="4" t="n">
        <f aca="false">IF(A139="",0,IF(COUNTIF($A$2:A139,A139)&gt;1,1,0))</f>
        <v>0</v>
      </c>
      <c r="P139" s="4" t="n">
        <f aca="false">IF(AND(A139&lt;&gt;"",J139&lt;&gt;"",M139&gt;0,N139&gt;0,O139=0),1,0)</f>
        <v>1</v>
      </c>
      <c r="Q139" s="7" t="n">
        <f aca="false">IF(P139=1,M139*N139,0)</f>
        <v>94.11</v>
      </c>
    </row>
    <row r="140" customFormat="false" ht="15" hidden="false" customHeight="false" outlineLevel="0" collapsed="false">
      <c r="A140" s="4" t="n">
        <v>10106</v>
      </c>
      <c r="B140" s="4" t="s">
        <v>506</v>
      </c>
      <c r="C140" s="4" t="s">
        <v>332</v>
      </c>
      <c r="D140" s="4" t="s">
        <v>106</v>
      </c>
      <c r="E140" s="4" t="s">
        <v>65</v>
      </c>
      <c r="F140" s="4" t="n">
        <v>3</v>
      </c>
      <c r="G140" s="4" t="s">
        <v>507</v>
      </c>
      <c r="H140" s="4" t="s">
        <v>54</v>
      </c>
      <c r="I140" s="4" t="s">
        <v>508</v>
      </c>
      <c r="J140" s="6" t="n">
        <f aca="false">IFERROR(DATEVALUE(B140),"")</f>
        <v>45510</v>
      </c>
      <c r="K140" s="4" t="str">
        <f aca="false">IF(A140="","",PROPER(TRIM(C140)))</f>
        <v>West</v>
      </c>
      <c r="L140" s="4" t="str">
        <f aca="false">IF(A140="","",PROPER(TRIM(D140)))</f>
        <v>Footwear</v>
      </c>
      <c r="M140" s="4" t="n">
        <f aca="false">IFERROR(VALUE(F140),0)</f>
        <v>3</v>
      </c>
      <c r="N140" s="7" t="n">
        <f aca="false">IFERROR(VALUE(SUBSTITUTE(G140,"$","")),0)</f>
        <v>52.2</v>
      </c>
      <c r="O140" s="4" t="n">
        <f aca="false">IF(A140="",0,IF(COUNTIF($A$2:A140,A140)&gt;1,1,0))</f>
        <v>0</v>
      </c>
      <c r="P140" s="4" t="n">
        <f aca="false">IF(AND(A140&lt;&gt;"",J140&lt;&gt;"",M140&gt;0,N140&gt;0,O140=0),1,0)</f>
        <v>1</v>
      </c>
      <c r="Q140" s="7" t="n">
        <f aca="false">IF(P140=1,M140*N140,0)</f>
        <v>156.6</v>
      </c>
    </row>
    <row r="141" customFormat="false" ht="15" hidden="false" customHeight="false" outlineLevel="0" collapsed="false">
      <c r="A141" s="4" t="n">
        <v>10180</v>
      </c>
      <c r="B141" s="4" t="s">
        <v>509</v>
      </c>
      <c r="C141" s="4" t="s">
        <v>149</v>
      </c>
      <c r="D141" s="4" t="s">
        <v>438</v>
      </c>
      <c r="E141" s="4" t="s">
        <v>77</v>
      </c>
      <c r="F141" s="4" t="n">
        <v>3</v>
      </c>
      <c r="G141" s="4" t="s">
        <v>510</v>
      </c>
      <c r="H141" s="4" t="s">
        <v>47</v>
      </c>
      <c r="I141" s="4" t="s">
        <v>511</v>
      </c>
      <c r="J141" s="6" t="n">
        <f aca="false">IFERROR(DATEVALUE(B141),"")</f>
        <v>45782</v>
      </c>
      <c r="K141" s="4" t="str">
        <f aca="false">IF(A141="","",PROPER(TRIM(C141)))</f>
        <v>East</v>
      </c>
      <c r="L141" s="4" t="str">
        <f aca="false">IF(A141="","",PROPER(TRIM(D141)))</f>
        <v>Footwear</v>
      </c>
      <c r="M141" s="4" t="n">
        <f aca="false">IFERROR(VALUE(F141),0)</f>
        <v>3</v>
      </c>
      <c r="N141" s="7" t="n">
        <f aca="false">IFERROR(VALUE(SUBSTITUTE(G141,"$","")),0)</f>
        <v>144.64</v>
      </c>
      <c r="O141" s="4" t="n">
        <f aca="false">IF(A141="",0,IF(COUNTIF($A$2:A141,A141)&gt;1,1,0))</f>
        <v>0</v>
      </c>
      <c r="P141" s="4" t="n">
        <f aca="false">IF(AND(A141&lt;&gt;"",J141&lt;&gt;"",M141&gt;0,N141&gt;0,O141=0),1,0)</f>
        <v>1</v>
      </c>
      <c r="Q141" s="7" t="n">
        <f aca="false">IF(P141=1,M141*N141,0)</f>
        <v>433.92</v>
      </c>
    </row>
    <row r="142" customFormat="false" ht="15" hidden="false" customHeight="false" outlineLevel="0" collapsed="false">
      <c r="A142" s="4" t="n">
        <v>10328</v>
      </c>
      <c r="B142" s="4" t="s">
        <v>512</v>
      </c>
      <c r="C142" s="4" t="s">
        <v>57</v>
      </c>
      <c r="D142" s="4" t="s">
        <v>64</v>
      </c>
      <c r="E142" s="4" t="s">
        <v>77</v>
      </c>
      <c r="F142" s="4" t="n">
        <v>1</v>
      </c>
      <c r="G142" s="4" t="s">
        <v>513</v>
      </c>
      <c r="H142" s="4" t="s">
        <v>47</v>
      </c>
      <c r="I142" s="4" t="s">
        <v>514</v>
      </c>
      <c r="J142" s="6" t="n">
        <f aca="false">IFERROR(DATEVALUE(B142),"")</f>
        <v>45318</v>
      </c>
      <c r="K142" s="4" t="str">
        <f aca="false">IF(A142="","",PROPER(TRIM(C142)))</f>
        <v>West</v>
      </c>
      <c r="L142" s="4" t="str">
        <f aca="false">IF(A142="","",PROPER(TRIM(D142)))</f>
        <v>Footwear</v>
      </c>
      <c r="M142" s="4" t="n">
        <f aca="false">IFERROR(VALUE(F142),0)</f>
        <v>1</v>
      </c>
      <c r="N142" s="7" t="n">
        <f aca="false">IFERROR(VALUE(SUBSTITUTE(G142,"$","")),0)</f>
        <v>127.62</v>
      </c>
      <c r="O142" s="4" t="n">
        <f aca="false">IF(A142="",0,IF(COUNTIF($A$2:A142,A142)&gt;1,1,0))</f>
        <v>0</v>
      </c>
      <c r="P142" s="4" t="n">
        <f aca="false">IF(AND(A142&lt;&gt;"",J142&lt;&gt;"",M142&gt;0,N142&gt;0,O142=0),1,0)</f>
        <v>1</v>
      </c>
      <c r="Q142" s="7" t="n">
        <f aca="false">IF(P142=1,M142*N142,0)</f>
        <v>127.62</v>
      </c>
    </row>
    <row r="143" customFormat="false" ht="15" hidden="false" customHeight="false" outlineLevel="0" collapsed="false">
      <c r="A143" s="4" t="n">
        <v>10250</v>
      </c>
      <c r="B143" s="4" t="s">
        <v>515</v>
      </c>
      <c r="C143" s="4" t="s">
        <v>120</v>
      </c>
      <c r="D143" s="4" t="s">
        <v>70</v>
      </c>
      <c r="E143" s="4" t="s">
        <v>71</v>
      </c>
      <c r="F143" s="4" t="n">
        <v>4</v>
      </c>
      <c r="G143" s="4" t="s">
        <v>516</v>
      </c>
      <c r="H143" s="4" t="s">
        <v>54</v>
      </c>
      <c r="I143" s="4" t="s">
        <v>517</v>
      </c>
      <c r="J143" s="6" t="n">
        <f aca="false">IFERROR(DATEVALUE(B143),"")</f>
        <v>45569</v>
      </c>
      <c r="K143" s="4" t="str">
        <f aca="false">IF(A143="","",PROPER(TRIM(C143)))</f>
        <v>East</v>
      </c>
      <c r="L143" s="4" t="str">
        <f aca="false">IF(A143="","",PROPER(TRIM(D143)))</f>
        <v>Camping Gear</v>
      </c>
      <c r="M143" s="4" t="n">
        <f aca="false">IFERROR(VALUE(F143),0)</f>
        <v>4</v>
      </c>
      <c r="N143" s="7" t="n">
        <f aca="false">IFERROR(VALUE(SUBSTITUTE(G143,"$","")),0)</f>
        <v>59.92</v>
      </c>
      <c r="O143" s="4" t="n">
        <f aca="false">IF(A143="",0,IF(COUNTIF($A$2:A143,A143)&gt;1,1,0))</f>
        <v>0</v>
      </c>
      <c r="P143" s="4" t="n">
        <f aca="false">IF(AND(A143&lt;&gt;"",J143&lt;&gt;"",M143&gt;0,N143&gt;0,O143=0),1,0)</f>
        <v>1</v>
      </c>
      <c r="Q143" s="7" t="n">
        <f aca="false">IF(P143=1,M143*N143,0)</f>
        <v>239.68</v>
      </c>
    </row>
    <row r="144" customFormat="false" ht="15" hidden="false" customHeight="false" outlineLevel="0" collapsed="false">
      <c r="A144" s="4" t="n">
        <v>10344</v>
      </c>
      <c r="B144" s="4" t="s">
        <v>518</v>
      </c>
      <c r="C144" s="4" t="s">
        <v>63</v>
      </c>
      <c r="D144" s="4" t="s">
        <v>387</v>
      </c>
      <c r="E144" s="4" t="s">
        <v>448</v>
      </c>
      <c r="F144" s="4" t="n">
        <v>3</v>
      </c>
      <c r="G144" s="4" t="s">
        <v>519</v>
      </c>
      <c r="H144" s="4" t="s">
        <v>47</v>
      </c>
      <c r="I144" s="4" t="s">
        <v>520</v>
      </c>
      <c r="J144" s="6" t="n">
        <f aca="false">IFERROR(DATEVALUE(B144),"")</f>
        <v>45739</v>
      </c>
      <c r="K144" s="4" t="str">
        <f aca="false">IF(A144="","",PROPER(TRIM(C144)))</f>
        <v>Midwest</v>
      </c>
      <c r="L144" s="4" t="str">
        <f aca="false">IF(A144="","",PROPER(TRIM(D144)))</f>
        <v>Camping Gear</v>
      </c>
      <c r="M144" s="4" t="n">
        <f aca="false">IFERROR(VALUE(F144),0)</f>
        <v>3</v>
      </c>
      <c r="N144" s="7" t="n">
        <f aca="false">IFERROR(VALUE(SUBSTITUTE(G144,"$","")),0)</f>
        <v>181.41</v>
      </c>
      <c r="O144" s="4" t="n">
        <f aca="false">IF(A144="",0,IF(COUNTIF($A$2:A144,A144)&gt;1,1,0))</f>
        <v>0</v>
      </c>
      <c r="P144" s="4" t="n">
        <f aca="false">IF(AND(A144&lt;&gt;"",J144&lt;&gt;"",M144&gt;0,N144&gt;0,O144=0),1,0)</f>
        <v>1</v>
      </c>
      <c r="Q144" s="7" t="n">
        <f aca="false">IF(P144=1,M144*N144,0)</f>
        <v>544.23</v>
      </c>
    </row>
    <row r="145" customFormat="false" ht="15" hidden="false" customHeight="false" outlineLevel="0" collapsed="false">
      <c r="A145" s="4" t="n">
        <v>10605</v>
      </c>
      <c r="B145" s="4" t="s">
        <v>521</v>
      </c>
      <c r="C145" s="4" t="s">
        <v>149</v>
      </c>
      <c r="D145" s="4" t="s">
        <v>58</v>
      </c>
      <c r="E145" s="4" t="s">
        <v>59</v>
      </c>
      <c r="F145" s="4" t="n">
        <v>0</v>
      </c>
      <c r="G145" s="4" t="s">
        <v>522</v>
      </c>
      <c r="H145" s="4" t="s">
        <v>47</v>
      </c>
      <c r="I145" s="4" t="s">
        <v>523</v>
      </c>
      <c r="J145" s="6" t="n">
        <f aca="false">IFERROR(DATEVALUE(B145),"")</f>
        <v>45670</v>
      </c>
      <c r="K145" s="4" t="str">
        <f aca="false">IF(A145="","",PROPER(TRIM(C145)))</f>
        <v>East</v>
      </c>
      <c r="L145" s="4" t="str">
        <f aca="false">IF(A145="","",PROPER(TRIM(D145)))</f>
        <v>Climbing Gear</v>
      </c>
      <c r="M145" s="4" t="n">
        <f aca="false">IFERROR(VALUE(F145),0)</f>
        <v>0</v>
      </c>
      <c r="N145" s="7" t="n">
        <f aca="false">IFERROR(VALUE(SUBSTITUTE(G145,"$","")),0)</f>
        <v>37.75</v>
      </c>
      <c r="O145" s="4" t="n">
        <f aca="false">IF(A145="",0,IF(COUNTIF($A$2:A145,A145)&gt;1,1,0))</f>
        <v>0</v>
      </c>
      <c r="P145" s="4" t="n">
        <f aca="false">IF(AND(A145&lt;&gt;"",J145&lt;&gt;"",M145&gt;0,N145&gt;0,O145=0),1,0)</f>
        <v>0</v>
      </c>
      <c r="Q145" s="7" t="n">
        <f aca="false">IF(P145=1,M145*N145,0)</f>
        <v>0</v>
      </c>
    </row>
    <row r="146" customFormat="false" ht="15" hidden="false" customHeight="false" outlineLevel="0" collapsed="false">
      <c r="A146" s="4" t="n">
        <v>10672</v>
      </c>
      <c r="B146" s="4" t="s">
        <v>524</v>
      </c>
      <c r="C146" s="4" t="s">
        <v>93</v>
      </c>
      <c r="D146" s="4" t="s">
        <v>250</v>
      </c>
      <c r="E146" s="4" t="s">
        <v>71</v>
      </c>
      <c r="F146" s="4" t="n">
        <v>2</v>
      </c>
      <c r="G146" s="4" t="s">
        <v>525</v>
      </c>
      <c r="H146" s="4" t="s">
        <v>54</v>
      </c>
      <c r="I146" s="4" t="s">
        <v>526</v>
      </c>
      <c r="J146" s="6" t="n">
        <f aca="false">IFERROR(DATEVALUE(B146),"")</f>
        <v>45599</v>
      </c>
      <c r="K146" s="4" t="str">
        <f aca="false">IF(A146="","",PROPER(TRIM(C146)))</f>
        <v>West</v>
      </c>
      <c r="L146" s="4" t="str">
        <f aca="false">IF(A146="","",PROPER(TRIM(D146)))</f>
        <v>Camping Gear</v>
      </c>
      <c r="M146" s="4" t="n">
        <f aca="false">IFERROR(VALUE(F146),0)</f>
        <v>2</v>
      </c>
      <c r="N146" s="7" t="n">
        <f aca="false">IFERROR(VALUE(SUBSTITUTE(G146,"$","")),0)</f>
        <v>59.24</v>
      </c>
      <c r="O146" s="4" t="n">
        <f aca="false">IF(A146="",0,IF(COUNTIF($A$2:A146,A146)&gt;1,1,0))</f>
        <v>0</v>
      </c>
      <c r="P146" s="4" t="n">
        <f aca="false">IF(AND(A146&lt;&gt;"",J146&lt;&gt;"",M146&gt;0,N146&gt;0,O146=0),1,0)</f>
        <v>1</v>
      </c>
      <c r="Q146" s="7" t="n">
        <f aca="false">IF(P146=1,M146*N146,0)</f>
        <v>118.48</v>
      </c>
    </row>
    <row r="147" customFormat="false" ht="15" hidden="false" customHeight="false" outlineLevel="0" collapsed="false">
      <c r="A147" s="4" t="n">
        <v>10488</v>
      </c>
      <c r="B147" s="4" t="s">
        <v>527</v>
      </c>
      <c r="C147" s="4" t="s">
        <v>57</v>
      </c>
      <c r="D147" s="4" t="s">
        <v>387</v>
      </c>
      <c r="E147" s="4" t="s">
        <v>71</v>
      </c>
      <c r="F147" s="4" t="n">
        <v>1</v>
      </c>
      <c r="G147" s="4" t="s">
        <v>528</v>
      </c>
      <c r="H147" s="4" t="s">
        <v>47</v>
      </c>
      <c r="I147" s="4" t="s">
        <v>529</v>
      </c>
      <c r="J147" s="6" t="n">
        <f aca="false">IFERROR(DATEVALUE(B147),"")</f>
        <v>45311</v>
      </c>
      <c r="K147" s="4" t="str">
        <f aca="false">IF(A147="","",PROPER(TRIM(C147)))</f>
        <v>West</v>
      </c>
      <c r="L147" s="4" t="str">
        <f aca="false">IF(A147="","",PROPER(TRIM(D147)))</f>
        <v>Camping Gear</v>
      </c>
      <c r="M147" s="4" t="n">
        <f aca="false">IFERROR(VALUE(F147),0)</f>
        <v>1</v>
      </c>
      <c r="N147" s="7" t="n">
        <f aca="false">IFERROR(VALUE(SUBSTITUTE(G147,"$","")),0)</f>
        <v>72.53</v>
      </c>
      <c r="O147" s="4" t="n">
        <f aca="false">IF(A147="",0,IF(COUNTIF($A$2:A147,A147)&gt;1,1,0))</f>
        <v>0</v>
      </c>
      <c r="P147" s="4" t="n">
        <f aca="false">IF(AND(A147&lt;&gt;"",J147&lt;&gt;"",M147&gt;0,N147&gt;0,O147=0),1,0)</f>
        <v>1</v>
      </c>
      <c r="Q147" s="7" t="n">
        <f aca="false">IF(P147=1,M147*N147,0)</f>
        <v>72.53</v>
      </c>
    </row>
    <row r="148" customFormat="false" ht="15" hidden="false" customHeight="false" outlineLevel="0" collapsed="false">
      <c r="A148" s="4" t="n">
        <v>10391</v>
      </c>
      <c r="B148" s="4" t="s">
        <v>530</v>
      </c>
      <c r="C148" s="4" t="s">
        <v>105</v>
      </c>
      <c r="D148" s="4" t="s">
        <v>51</v>
      </c>
      <c r="E148" s="4" t="s">
        <v>52</v>
      </c>
      <c r="F148" s="4" t="n">
        <v>2</v>
      </c>
      <c r="G148" s="4" t="s">
        <v>531</v>
      </c>
      <c r="H148" s="4" t="s">
        <v>54</v>
      </c>
      <c r="I148" s="4" t="s">
        <v>532</v>
      </c>
      <c r="J148" s="6" t="n">
        <f aca="false">IFERROR(DATEVALUE(B148),"")</f>
        <v>45613</v>
      </c>
      <c r="K148" s="4" t="str">
        <f aca="false">IF(A148="","",PROPER(TRIM(C148)))</f>
        <v>Midwest</v>
      </c>
      <c r="L148" s="4" t="str">
        <f aca="false">IF(A148="","",PROPER(TRIM(D148)))</f>
        <v>Accessories</v>
      </c>
      <c r="M148" s="4" t="n">
        <f aca="false">IFERROR(VALUE(F148),0)</f>
        <v>2</v>
      </c>
      <c r="N148" s="7" t="n">
        <f aca="false">IFERROR(VALUE(SUBSTITUTE(G148,"$","")),0)</f>
        <v>90.49</v>
      </c>
      <c r="O148" s="4" t="n">
        <f aca="false">IF(A148="",0,IF(COUNTIF($A$2:A148,A148)&gt;1,1,0))</f>
        <v>0</v>
      </c>
      <c r="P148" s="4" t="n">
        <f aca="false">IF(AND(A148&lt;&gt;"",J148&lt;&gt;"",M148&gt;0,N148&gt;0,O148=0),1,0)</f>
        <v>1</v>
      </c>
      <c r="Q148" s="7" t="n">
        <f aca="false">IF(P148=1,M148*N148,0)</f>
        <v>180.98</v>
      </c>
    </row>
    <row r="149" customFormat="false" ht="15" hidden="false" customHeight="false" outlineLevel="0" collapsed="false">
      <c r="A149" s="4" t="n">
        <v>10471</v>
      </c>
      <c r="B149" s="4" t="s">
        <v>216</v>
      </c>
      <c r="C149" s="4" t="s">
        <v>110</v>
      </c>
      <c r="D149" s="4" t="s">
        <v>171</v>
      </c>
      <c r="E149" s="4" t="s">
        <v>448</v>
      </c>
      <c r="F149" s="4" t="n">
        <v>1</v>
      </c>
      <c r="G149" s="4" t="s">
        <v>533</v>
      </c>
      <c r="H149" s="4" t="s">
        <v>54</v>
      </c>
      <c r="I149" s="4" t="s">
        <v>534</v>
      </c>
      <c r="J149" s="6" t="str">
        <f aca="false">IFERROR(DATEVALUE(B149),"")</f>
        <v/>
      </c>
      <c r="K149" s="4" t="str">
        <f aca="false">IF(A149="","",PROPER(TRIM(C149)))</f>
        <v>Midwest</v>
      </c>
      <c r="L149" s="4" t="str">
        <f aca="false">IF(A149="","",PROPER(TRIM(D149)))</f>
        <v>Camping Gear</v>
      </c>
      <c r="M149" s="4" t="n">
        <f aca="false">IFERROR(VALUE(F149),0)</f>
        <v>1</v>
      </c>
      <c r="N149" s="7" t="n">
        <f aca="false">IFERROR(VALUE(SUBSTITUTE(G149,"$","")),0)</f>
        <v>214.74</v>
      </c>
      <c r="O149" s="4" t="n">
        <f aca="false">IF(A149="",0,IF(COUNTIF($A$2:A149,A149)&gt;1,1,0))</f>
        <v>0</v>
      </c>
      <c r="P149" s="4" t="n">
        <f aca="false">IF(AND(A149&lt;&gt;"",J149&lt;&gt;"",M149&gt;0,N149&gt;0,O149=0),1,0)</f>
        <v>0</v>
      </c>
      <c r="Q149" s="7" t="n">
        <f aca="false">IF(P149=1,M149*N149,0)</f>
        <v>0</v>
      </c>
    </row>
    <row r="150" customFormat="false" ht="15" hidden="false" customHeight="false" outlineLevel="0" collapsed="false">
      <c r="A150" s="4" t="n">
        <v>10110</v>
      </c>
      <c r="B150" s="4" t="s">
        <v>535</v>
      </c>
      <c r="C150" s="4" t="s">
        <v>63</v>
      </c>
      <c r="D150" s="4" t="s">
        <v>129</v>
      </c>
      <c r="E150" s="4" t="s">
        <v>188</v>
      </c>
      <c r="F150" s="4" t="n">
        <v>2</v>
      </c>
      <c r="G150" s="4" t="s">
        <v>536</v>
      </c>
      <c r="H150" s="4" t="s">
        <v>47</v>
      </c>
      <c r="I150" s="4" t="s">
        <v>412</v>
      </c>
      <c r="J150" s="6" t="n">
        <f aca="false">IFERROR(DATEVALUE(B150),"")</f>
        <v>45570</v>
      </c>
      <c r="K150" s="4" t="str">
        <f aca="false">IF(A150="","",PROPER(TRIM(C150)))</f>
        <v>Midwest</v>
      </c>
      <c r="L150" s="4" t="str">
        <f aca="false">IF(A150="","",PROPER(TRIM(D150)))</f>
        <v>Climbing Gear</v>
      </c>
      <c r="M150" s="4" t="n">
        <f aca="false">IFERROR(VALUE(F150),0)</f>
        <v>2</v>
      </c>
      <c r="N150" s="7" t="n">
        <f aca="false">IFERROR(VALUE(SUBSTITUTE(G150,"$","")),0)</f>
        <v>19.66</v>
      </c>
      <c r="O150" s="4" t="n">
        <f aca="false">IF(A150="",0,IF(COUNTIF($A$2:A150,A150)&gt;1,1,0))</f>
        <v>0</v>
      </c>
      <c r="P150" s="4" t="n">
        <f aca="false">IF(AND(A150&lt;&gt;"",J150&lt;&gt;"",M150&gt;0,N150&gt;0,O150=0),1,0)</f>
        <v>1</v>
      </c>
      <c r="Q150" s="7" t="n">
        <f aca="false">IF(P150=1,M150*N150,0)</f>
        <v>39.32</v>
      </c>
    </row>
    <row r="151" customFormat="false" ht="15" hidden="false" customHeight="false" outlineLevel="0" collapsed="false">
      <c r="A151" s="4" t="n">
        <v>10699</v>
      </c>
      <c r="B151" s="4" t="s">
        <v>537</v>
      </c>
      <c r="C151" s="4" t="s">
        <v>50</v>
      </c>
      <c r="D151" s="4" t="s">
        <v>387</v>
      </c>
      <c r="E151" s="4" t="s">
        <v>251</v>
      </c>
      <c r="F151" s="4" t="n">
        <v>5</v>
      </c>
      <c r="G151" s="4" t="s">
        <v>538</v>
      </c>
      <c r="H151" s="4" t="s">
        <v>73</v>
      </c>
      <c r="I151" s="4" t="s">
        <v>539</v>
      </c>
      <c r="J151" s="6" t="n">
        <f aca="false">IFERROR(DATEVALUE(B151),"")</f>
        <v>45831</v>
      </c>
      <c r="K151" s="4" t="str">
        <f aca="false">IF(A151="","",PROPER(TRIM(C151)))</f>
        <v>Midwest</v>
      </c>
      <c r="L151" s="4" t="str">
        <f aca="false">IF(A151="","",PROPER(TRIM(D151)))</f>
        <v>Camping Gear</v>
      </c>
      <c r="M151" s="4" t="n">
        <f aca="false">IFERROR(VALUE(F151),0)</f>
        <v>5</v>
      </c>
      <c r="N151" s="7" t="n">
        <f aca="false">IFERROR(VALUE(SUBSTITUTE(G151,"$","")),0)</f>
        <v>87.25</v>
      </c>
      <c r="O151" s="4" t="n">
        <f aca="false">IF(A151="",0,IF(COUNTIF($A$2:A151,A151)&gt;1,1,0))</f>
        <v>0</v>
      </c>
      <c r="P151" s="4" t="n">
        <f aca="false">IF(AND(A151&lt;&gt;"",J151&lt;&gt;"",M151&gt;0,N151&gt;0,O151=0),1,0)</f>
        <v>1</v>
      </c>
      <c r="Q151" s="7" t="n">
        <f aca="false">IF(P151=1,M151*N151,0)</f>
        <v>436.25</v>
      </c>
    </row>
    <row r="152" customFormat="false" ht="15" hidden="false" customHeight="false" outlineLevel="0" collapsed="false">
      <c r="A152" s="4" t="n">
        <v>10428</v>
      </c>
      <c r="B152" s="4" t="s">
        <v>540</v>
      </c>
      <c r="C152" s="4" t="s">
        <v>541</v>
      </c>
      <c r="D152" s="4" t="s">
        <v>76</v>
      </c>
      <c r="E152" s="4" t="s">
        <v>151</v>
      </c>
      <c r="F152" s="4" t="n">
        <v>1</v>
      </c>
      <c r="G152" s="4" t="s">
        <v>542</v>
      </c>
      <c r="H152" s="4" t="s">
        <v>54</v>
      </c>
      <c r="I152" s="4" t="s">
        <v>543</v>
      </c>
      <c r="J152" s="6" t="n">
        <f aca="false">IFERROR(DATEVALUE(B152),"")</f>
        <v>45433</v>
      </c>
      <c r="K152" s="4" t="str">
        <f aca="false">IF(A152="","",PROPER(TRIM(C152)))</f>
        <v>West</v>
      </c>
      <c r="L152" s="4" t="str">
        <f aca="false">IF(A152="","",PROPER(TRIM(D152)))</f>
        <v>Footwear</v>
      </c>
      <c r="M152" s="4" t="n">
        <f aca="false">IFERROR(VALUE(F152),0)</f>
        <v>1</v>
      </c>
      <c r="N152" s="7" t="n">
        <f aca="false">IFERROR(VALUE(SUBSTITUTE(G152,"$","")),0)</f>
        <v>143.69</v>
      </c>
      <c r="O152" s="4" t="n">
        <f aca="false">IF(A152="",0,IF(COUNTIF($A$2:A152,A152)&gt;1,1,0))</f>
        <v>0</v>
      </c>
      <c r="P152" s="4" t="n">
        <f aca="false">IF(AND(A152&lt;&gt;"",J152&lt;&gt;"",M152&gt;0,N152&gt;0,O152=0),1,0)</f>
        <v>1</v>
      </c>
      <c r="Q152" s="7" t="n">
        <f aca="false">IF(P152=1,M152*N152,0)</f>
        <v>143.69</v>
      </c>
    </row>
    <row r="153" customFormat="false" ht="15" hidden="false" customHeight="false" outlineLevel="0" collapsed="false">
      <c r="A153" s="4" t="n">
        <v>10393</v>
      </c>
      <c r="B153" s="4" t="s">
        <v>544</v>
      </c>
      <c r="C153" s="4" t="s">
        <v>149</v>
      </c>
      <c r="D153" s="4" t="s">
        <v>101</v>
      </c>
      <c r="E153" s="4" t="s">
        <v>52</v>
      </c>
      <c r="F153" s="4" t="n">
        <v>1</v>
      </c>
      <c r="G153" s="4" t="s">
        <v>545</v>
      </c>
      <c r="H153" s="4" t="s">
        <v>54</v>
      </c>
      <c r="I153" s="4" t="s">
        <v>546</v>
      </c>
      <c r="J153" s="6" t="n">
        <f aca="false">IFERROR(DATEVALUE(B153),"")</f>
        <v>45363</v>
      </c>
      <c r="K153" s="4" t="str">
        <f aca="false">IF(A153="","",PROPER(TRIM(C153)))</f>
        <v>East</v>
      </c>
      <c r="L153" s="4" t="str">
        <f aca="false">IF(A153="","",PROPER(TRIM(D153)))</f>
        <v>Accessories</v>
      </c>
      <c r="M153" s="4" t="n">
        <f aca="false">IFERROR(VALUE(F153),0)</f>
        <v>1</v>
      </c>
      <c r="N153" s="7" t="n">
        <f aca="false">IFERROR(VALUE(SUBSTITUTE(G153,"$","")),0)</f>
        <v>82.18</v>
      </c>
      <c r="O153" s="4" t="n">
        <f aca="false">IF(A153="",0,IF(COUNTIF($A$2:A153,A153)&gt;1,1,0))</f>
        <v>0</v>
      </c>
      <c r="P153" s="4" t="n">
        <f aca="false">IF(AND(A153&lt;&gt;"",J153&lt;&gt;"",M153&gt;0,N153&gt;0,O153=0),1,0)</f>
        <v>1</v>
      </c>
      <c r="Q153" s="7" t="n">
        <f aca="false">IF(P153=1,M153*N153,0)</f>
        <v>82.18</v>
      </c>
    </row>
    <row r="154" customFormat="false" ht="15" hidden="false" customHeight="false" outlineLevel="0" collapsed="false">
      <c r="A154" s="4" t="n">
        <v>10609</v>
      </c>
      <c r="B154" s="4" t="s">
        <v>547</v>
      </c>
      <c r="C154" s="4" t="s">
        <v>69</v>
      </c>
      <c r="D154" s="4" t="s">
        <v>438</v>
      </c>
      <c r="E154" s="4" t="s">
        <v>77</v>
      </c>
      <c r="F154" s="4" t="n">
        <v>1</v>
      </c>
      <c r="G154" s="4" t="s">
        <v>548</v>
      </c>
      <c r="H154" s="4" t="s">
        <v>73</v>
      </c>
      <c r="I154" s="4" t="s">
        <v>549</v>
      </c>
      <c r="J154" s="6" t="n">
        <f aca="false">IFERROR(DATEVALUE(B154),"")</f>
        <v>45421</v>
      </c>
      <c r="K154" s="4" t="str">
        <f aca="false">IF(A154="","",PROPER(TRIM(C154)))</f>
        <v>East</v>
      </c>
      <c r="L154" s="4" t="str">
        <f aca="false">IF(A154="","",PROPER(TRIM(D154)))</f>
        <v>Footwear</v>
      </c>
      <c r="M154" s="4" t="n">
        <f aca="false">IFERROR(VALUE(F154),0)</f>
        <v>1</v>
      </c>
      <c r="N154" s="7" t="n">
        <f aca="false">IFERROR(VALUE(SUBSTITUTE(G154,"$","")),0)</f>
        <v>120.21</v>
      </c>
      <c r="O154" s="4" t="n">
        <f aca="false">IF(A154="",0,IF(COUNTIF($A$2:A154,A154)&gt;1,1,0))</f>
        <v>0</v>
      </c>
      <c r="P154" s="4" t="n">
        <f aca="false">IF(AND(A154&lt;&gt;"",J154&lt;&gt;"",M154&gt;0,N154&gt;0,O154=0),1,0)</f>
        <v>1</v>
      </c>
      <c r="Q154" s="7" t="n">
        <f aca="false">IF(P154=1,M154*N154,0)</f>
        <v>120.21</v>
      </c>
    </row>
    <row r="155" customFormat="false" ht="15" hidden="false" customHeight="false" outlineLevel="0" collapsed="false">
      <c r="A155" s="4" t="n">
        <v>10173</v>
      </c>
      <c r="B155" s="4" t="s">
        <v>550</v>
      </c>
      <c r="C155" s="4" t="s">
        <v>155</v>
      </c>
      <c r="D155" s="4" t="s">
        <v>124</v>
      </c>
      <c r="E155" s="4" t="s">
        <v>94</v>
      </c>
      <c r="F155" s="4" t="n">
        <v>4</v>
      </c>
      <c r="G155" s="4" t="s">
        <v>551</v>
      </c>
      <c r="H155" s="4" t="s">
        <v>47</v>
      </c>
      <c r="I155" s="4" t="s">
        <v>425</v>
      </c>
      <c r="J155" s="6" t="n">
        <f aca="false">IFERROR(DATEVALUE(B155),"")</f>
        <v>45298</v>
      </c>
      <c r="K155" s="4" t="str">
        <f aca="false">IF(A155="","",PROPER(TRIM(C155)))</f>
        <v>South</v>
      </c>
      <c r="L155" s="4" t="str">
        <f aca="false">IF(A155="","",PROPER(TRIM(D155)))</f>
        <v>Climbing Gear</v>
      </c>
      <c r="M155" s="4" t="n">
        <f aca="false">IFERROR(VALUE(F155),0)</f>
        <v>4</v>
      </c>
      <c r="N155" s="7" t="n">
        <f aca="false">IFERROR(VALUE(SUBSTITUTE(G155,"$","")),0)</f>
        <v>172.21</v>
      </c>
      <c r="O155" s="4" t="n">
        <f aca="false">IF(A155="",0,IF(COUNTIF($A$2:A155,A155)&gt;1,1,0))</f>
        <v>0</v>
      </c>
      <c r="P155" s="4" t="n">
        <f aca="false">IF(AND(A155&lt;&gt;"",J155&lt;&gt;"",M155&gt;0,N155&gt;0,O155=0),1,0)</f>
        <v>1</v>
      </c>
      <c r="Q155" s="7" t="n">
        <f aca="false">IF(P155=1,M155*N155,0)</f>
        <v>688.84</v>
      </c>
    </row>
    <row r="156" customFormat="false" ht="15" hidden="false" customHeight="false" outlineLevel="0" collapsed="false">
      <c r="A156" s="4" t="n">
        <v>10469</v>
      </c>
      <c r="B156" s="4" t="s">
        <v>552</v>
      </c>
      <c r="C156" s="4" t="s">
        <v>332</v>
      </c>
      <c r="D156" s="4" t="s">
        <v>64</v>
      </c>
      <c r="E156" s="4" t="s">
        <v>65</v>
      </c>
      <c r="F156" s="4" t="n">
        <v>1</v>
      </c>
      <c r="G156" s="4" t="s">
        <v>553</v>
      </c>
      <c r="H156" s="4" t="s">
        <v>47</v>
      </c>
      <c r="I156" s="4" t="s">
        <v>554</v>
      </c>
      <c r="J156" s="6" t="n">
        <f aca="false">IFERROR(DATEVALUE(B156),"")</f>
        <v>45525</v>
      </c>
      <c r="K156" s="4" t="str">
        <f aca="false">IF(A156="","",PROPER(TRIM(C156)))</f>
        <v>West</v>
      </c>
      <c r="L156" s="4" t="str">
        <f aca="false">IF(A156="","",PROPER(TRIM(D156)))</f>
        <v>Footwear</v>
      </c>
      <c r="M156" s="4" t="n">
        <f aca="false">IFERROR(VALUE(F156),0)</f>
        <v>1</v>
      </c>
      <c r="N156" s="7" t="n">
        <f aca="false">IFERROR(VALUE(SUBSTITUTE(G156,"$","")),0)</f>
        <v>52.67</v>
      </c>
      <c r="O156" s="4" t="n">
        <f aca="false">IF(A156="",0,IF(COUNTIF($A$2:A156,A156)&gt;1,1,0))</f>
        <v>0</v>
      </c>
      <c r="P156" s="4" t="n">
        <f aca="false">IF(AND(A156&lt;&gt;"",J156&lt;&gt;"",M156&gt;0,N156&gt;0,O156=0),1,0)</f>
        <v>1</v>
      </c>
      <c r="Q156" s="7" t="n">
        <f aca="false">IF(P156=1,M156*N156,0)</f>
        <v>52.67</v>
      </c>
    </row>
    <row r="157" customFormat="false" ht="15" hidden="false" customHeight="false" outlineLevel="0" collapsed="false">
      <c r="A157" s="4" t="n">
        <v>10659</v>
      </c>
      <c r="B157" s="4" t="s">
        <v>206</v>
      </c>
      <c r="C157" s="4" t="s">
        <v>50</v>
      </c>
      <c r="D157" s="4" t="s">
        <v>387</v>
      </c>
      <c r="E157" s="4" t="s">
        <v>203</v>
      </c>
      <c r="F157" s="4" t="n">
        <v>2</v>
      </c>
      <c r="G157" s="4" t="s">
        <v>555</v>
      </c>
      <c r="H157" s="4" t="s">
        <v>54</v>
      </c>
      <c r="I157" s="4" t="s">
        <v>304</v>
      </c>
      <c r="J157" s="6" t="str">
        <f aca="false">IFERROR(DATEVALUE(B157),"")</f>
        <v/>
      </c>
      <c r="K157" s="4" t="str">
        <f aca="false">IF(A157="","",PROPER(TRIM(C157)))</f>
        <v>Midwest</v>
      </c>
      <c r="L157" s="4" t="str">
        <f aca="false">IF(A157="","",PROPER(TRIM(D157)))</f>
        <v>Camping Gear</v>
      </c>
      <c r="M157" s="4" t="n">
        <f aca="false">IFERROR(VALUE(F157),0)</f>
        <v>2</v>
      </c>
      <c r="N157" s="7" t="n">
        <f aca="false">IFERROR(VALUE(SUBSTITUTE(G157,"$","")),0)</f>
        <v>248.02</v>
      </c>
      <c r="O157" s="4" t="n">
        <f aca="false">IF(A157="",0,IF(COUNTIF($A$2:A157,A157)&gt;1,1,0))</f>
        <v>0</v>
      </c>
      <c r="P157" s="4" t="n">
        <f aca="false">IF(AND(A157&lt;&gt;"",J157&lt;&gt;"",M157&gt;0,N157&gt;0,O157=0),1,0)</f>
        <v>0</v>
      </c>
      <c r="Q157" s="7" t="n">
        <f aca="false">IF(P157=1,M157*N157,0)</f>
        <v>0</v>
      </c>
    </row>
    <row r="158" customFormat="false" ht="15" hidden="false" customHeight="false" outlineLevel="0" collapsed="false">
      <c r="A158" s="4" t="n">
        <v>10256</v>
      </c>
      <c r="B158" s="4" t="s">
        <v>556</v>
      </c>
      <c r="C158" s="4" t="s">
        <v>541</v>
      </c>
      <c r="D158" s="4" t="s">
        <v>387</v>
      </c>
      <c r="E158" s="4" t="s">
        <v>203</v>
      </c>
      <c r="F158" s="4" t="n">
        <v>2</v>
      </c>
      <c r="G158" s="4" t="s">
        <v>557</v>
      </c>
      <c r="H158" s="4" t="s">
        <v>54</v>
      </c>
      <c r="I158" s="4" t="s">
        <v>219</v>
      </c>
      <c r="J158" s="6" t="n">
        <f aca="false">IFERROR(DATEVALUE(B158),"")</f>
        <v>45709</v>
      </c>
      <c r="K158" s="4" t="str">
        <f aca="false">IF(A158="","",PROPER(TRIM(C158)))</f>
        <v>West</v>
      </c>
      <c r="L158" s="4" t="str">
        <f aca="false">IF(A158="","",PROPER(TRIM(D158)))</f>
        <v>Camping Gear</v>
      </c>
      <c r="M158" s="4" t="n">
        <f aca="false">IFERROR(VALUE(F158),0)</f>
        <v>2</v>
      </c>
      <c r="N158" s="7" t="n">
        <f aca="false">IFERROR(VALUE(SUBSTITUTE(G158,"$","")),0)</f>
        <v>221.13</v>
      </c>
      <c r="O158" s="4" t="n">
        <f aca="false">IF(A158="",0,IF(COUNTIF($A$2:A158,A158)&gt;1,1,0))</f>
        <v>0</v>
      </c>
      <c r="P158" s="4" t="n">
        <f aca="false">IF(AND(A158&lt;&gt;"",J158&lt;&gt;"",M158&gt;0,N158&gt;0,O158=0),1,0)</f>
        <v>1</v>
      </c>
      <c r="Q158" s="7" t="n">
        <f aca="false">IF(P158=1,M158*N158,0)</f>
        <v>442.26</v>
      </c>
    </row>
    <row r="159" customFormat="false" ht="15" hidden="false" customHeight="false" outlineLevel="0" collapsed="false">
      <c r="A159" s="4" t="n">
        <v>10191</v>
      </c>
      <c r="B159" s="4" t="s">
        <v>558</v>
      </c>
      <c r="C159" s="4" t="s">
        <v>155</v>
      </c>
      <c r="D159" s="4" t="s">
        <v>58</v>
      </c>
      <c r="E159" s="4" t="s">
        <v>125</v>
      </c>
      <c r="F159" s="4" t="n">
        <v>2</v>
      </c>
      <c r="G159" s="4" t="s">
        <v>559</v>
      </c>
      <c r="H159" s="4" t="s">
        <v>54</v>
      </c>
      <c r="I159" s="4" t="s">
        <v>560</v>
      </c>
      <c r="J159" s="6" t="n">
        <f aca="false">IFERROR(DATEVALUE(B159),"")</f>
        <v>45446</v>
      </c>
      <c r="K159" s="4" t="str">
        <f aca="false">IF(A159="","",PROPER(TRIM(C159)))</f>
        <v>South</v>
      </c>
      <c r="L159" s="4" t="str">
        <f aca="false">IF(A159="","",PROPER(TRIM(D159)))</f>
        <v>Climbing Gear</v>
      </c>
      <c r="M159" s="4" t="n">
        <f aca="false">IFERROR(VALUE(F159),0)</f>
        <v>2</v>
      </c>
      <c r="N159" s="7" t="n">
        <f aca="false">IFERROR(VALUE(SUBSTITUTE(G159,"$","")),0)</f>
        <v>86.08</v>
      </c>
      <c r="O159" s="4" t="n">
        <f aca="false">IF(A159="",0,IF(COUNTIF($A$2:A159,A159)&gt;1,1,0))</f>
        <v>0</v>
      </c>
      <c r="P159" s="4" t="n">
        <f aca="false">IF(AND(A159&lt;&gt;"",J159&lt;&gt;"",M159&gt;0,N159&gt;0,O159=0),1,0)</f>
        <v>1</v>
      </c>
      <c r="Q159" s="7" t="n">
        <f aca="false">IF(P159=1,M159*N159,0)</f>
        <v>172.16</v>
      </c>
    </row>
    <row r="160" customFormat="false" ht="15" hidden="false" customHeight="false" outlineLevel="0" collapsed="false">
      <c r="A160" s="4" t="n">
        <v>10776</v>
      </c>
      <c r="B160" s="4" t="s">
        <v>561</v>
      </c>
      <c r="C160" s="4" t="s">
        <v>332</v>
      </c>
      <c r="D160" s="4" t="s">
        <v>230</v>
      </c>
      <c r="E160" s="4" t="s">
        <v>89</v>
      </c>
      <c r="F160" s="4" t="n">
        <v>3</v>
      </c>
      <c r="G160" s="4" t="s">
        <v>562</v>
      </c>
      <c r="H160" s="4" t="s">
        <v>47</v>
      </c>
      <c r="I160" s="4" t="s">
        <v>262</v>
      </c>
      <c r="J160" s="6" t="n">
        <f aca="false">IFERROR(DATEVALUE(B160),"")</f>
        <v>45813</v>
      </c>
      <c r="K160" s="4" t="str">
        <f aca="false">IF(A160="","",PROPER(TRIM(C160)))</f>
        <v>West</v>
      </c>
      <c r="L160" s="4" t="str">
        <f aca="false">IF(A160="","",PROPER(TRIM(D160)))</f>
        <v>Apparel</v>
      </c>
      <c r="M160" s="4" t="n">
        <f aca="false">IFERROR(VALUE(F160),0)</f>
        <v>3</v>
      </c>
      <c r="N160" s="7" t="n">
        <f aca="false">IFERROR(VALUE(SUBSTITUTE(G160,"$","")),0)</f>
        <v>60.13</v>
      </c>
      <c r="O160" s="4" t="n">
        <f aca="false">IF(A160="",0,IF(COUNTIF($A$2:A160,A160)&gt;1,1,0))</f>
        <v>0</v>
      </c>
      <c r="P160" s="4" t="n">
        <f aca="false">IF(AND(A160&lt;&gt;"",J160&lt;&gt;"",M160&gt;0,N160&gt;0,O160=0),1,0)</f>
        <v>1</v>
      </c>
      <c r="Q160" s="7" t="n">
        <f aca="false">IF(P160=1,M160*N160,0)</f>
        <v>180.39</v>
      </c>
    </row>
    <row r="161" customFormat="false" ht="15" hidden="false" customHeight="false" outlineLevel="0" collapsed="false">
      <c r="A161" s="4" t="n">
        <v>10230</v>
      </c>
      <c r="B161" s="4" t="s">
        <v>563</v>
      </c>
      <c r="C161" s="4" t="s">
        <v>183</v>
      </c>
      <c r="D161" s="4" t="s">
        <v>101</v>
      </c>
      <c r="E161" s="4" t="s">
        <v>45</v>
      </c>
      <c r="F161" s="4" t="n">
        <v>5</v>
      </c>
      <c r="G161" s="4" t="s">
        <v>564</v>
      </c>
      <c r="H161" s="4" t="s">
        <v>73</v>
      </c>
      <c r="I161" s="4" t="s">
        <v>131</v>
      </c>
      <c r="J161" s="6" t="n">
        <f aca="false">IFERROR(DATEVALUE(B161),"")</f>
        <v>45300</v>
      </c>
      <c r="K161" s="4" t="str">
        <f aca="false">IF(A161="","",PROPER(TRIM(C161)))</f>
        <v>West</v>
      </c>
      <c r="L161" s="4" t="str">
        <f aca="false">IF(A161="","",PROPER(TRIM(D161)))</f>
        <v>Accessories</v>
      </c>
      <c r="M161" s="4" t="n">
        <f aca="false">IFERROR(VALUE(F161),0)</f>
        <v>5</v>
      </c>
      <c r="N161" s="7" t="n">
        <f aca="false">IFERROR(VALUE(SUBSTITUTE(G161,"$","")),0)</f>
        <v>54.1</v>
      </c>
      <c r="O161" s="4" t="n">
        <f aca="false">IF(A161="",0,IF(COUNTIF($A$2:A161,A161)&gt;1,1,0))</f>
        <v>0</v>
      </c>
      <c r="P161" s="4" t="n">
        <f aca="false">IF(AND(A161&lt;&gt;"",J161&lt;&gt;"",M161&gt;0,N161&gt;0,O161=0),1,0)</f>
        <v>1</v>
      </c>
      <c r="Q161" s="7" t="n">
        <f aca="false">IF(P161=1,M161*N161,0)</f>
        <v>270.5</v>
      </c>
    </row>
    <row r="162" customFormat="false" ht="15" hidden="false" customHeight="false" outlineLevel="0" collapsed="false">
      <c r="A162" s="4" t="n">
        <v>10739</v>
      </c>
      <c r="B162" s="4" t="s">
        <v>565</v>
      </c>
      <c r="C162" s="4" t="s">
        <v>105</v>
      </c>
      <c r="D162" s="4" t="s">
        <v>141</v>
      </c>
      <c r="E162" s="4" t="s">
        <v>116</v>
      </c>
      <c r="F162" s="4" t="n">
        <v>1</v>
      </c>
      <c r="G162" s="4" t="s">
        <v>566</v>
      </c>
      <c r="H162" s="4" t="s">
        <v>54</v>
      </c>
      <c r="I162" s="4" t="s">
        <v>567</v>
      </c>
      <c r="J162" s="6" t="n">
        <f aca="false">IFERROR(DATEVALUE(B162),"")</f>
        <v>45618</v>
      </c>
      <c r="K162" s="4" t="str">
        <f aca="false">IF(A162="","",PROPER(TRIM(C162)))</f>
        <v>Midwest</v>
      </c>
      <c r="L162" s="4" t="str">
        <f aca="false">IF(A162="","",PROPER(TRIM(D162)))</f>
        <v>Apparel</v>
      </c>
      <c r="M162" s="4" t="n">
        <f aca="false">IFERROR(VALUE(F162),0)</f>
        <v>1</v>
      </c>
      <c r="N162" s="7" t="n">
        <f aca="false">IFERROR(VALUE(SUBSTITUTE(G162,"$","")),0)</f>
        <v>68.91</v>
      </c>
      <c r="O162" s="4" t="n">
        <f aca="false">IF(A162="",0,IF(COUNTIF($A$2:A162,A162)&gt;1,1,0))</f>
        <v>0</v>
      </c>
      <c r="P162" s="4" t="n">
        <f aca="false">IF(AND(A162&lt;&gt;"",J162&lt;&gt;"",M162&gt;0,N162&gt;0,O162=0),1,0)</f>
        <v>1</v>
      </c>
      <c r="Q162" s="7" t="n">
        <f aca="false">IF(P162=1,M162*N162,0)</f>
        <v>68.91</v>
      </c>
    </row>
    <row r="163" customFormat="false" ht="15" hidden="false" customHeight="false" outlineLevel="0" collapsed="false">
      <c r="A163" s="4" t="n">
        <v>10496</v>
      </c>
      <c r="B163" s="4" t="s">
        <v>568</v>
      </c>
      <c r="C163" s="4" t="s">
        <v>224</v>
      </c>
      <c r="D163" s="4" t="s">
        <v>171</v>
      </c>
      <c r="E163" s="4" t="s">
        <v>448</v>
      </c>
      <c r="F163" s="4" t="n">
        <v>1</v>
      </c>
      <c r="G163" s="4"/>
      <c r="H163" s="4" t="s">
        <v>47</v>
      </c>
      <c r="I163" s="4" t="s">
        <v>197</v>
      </c>
      <c r="J163" s="6" t="n">
        <f aca="false">IFERROR(DATEVALUE(B163),"")</f>
        <v>45505</v>
      </c>
      <c r="K163" s="4" t="str">
        <f aca="false">IF(A163="","",PROPER(TRIM(C163)))</f>
        <v>East</v>
      </c>
      <c r="L163" s="4" t="str">
        <f aca="false">IF(A163="","",PROPER(TRIM(D163)))</f>
        <v>Camping Gear</v>
      </c>
      <c r="M163" s="4" t="n">
        <f aca="false">IFERROR(VALUE(F163),0)</f>
        <v>1</v>
      </c>
      <c r="N163" s="7" t="n">
        <f aca="false">IFERROR(VALUE(SUBSTITUTE(G163,"$","")),0)</f>
        <v>0</v>
      </c>
      <c r="O163" s="4" t="n">
        <f aca="false">IF(A163="",0,IF(COUNTIF($A$2:A163,A163)&gt;1,1,0))</f>
        <v>0</v>
      </c>
      <c r="P163" s="4" t="n">
        <f aca="false">IF(AND(A163&lt;&gt;"",J163&lt;&gt;"",M163&gt;0,N163&gt;0,O163=0),1,0)</f>
        <v>0</v>
      </c>
      <c r="Q163" s="7" t="n">
        <f aca="false">IF(P163=1,M163*N163,0)</f>
        <v>0</v>
      </c>
    </row>
    <row r="164" customFormat="false" ht="15" hidden="false" customHeight="false" outlineLevel="0" collapsed="false">
      <c r="A164" s="4" t="n">
        <v>10306</v>
      </c>
      <c r="B164" s="4" t="s">
        <v>569</v>
      </c>
      <c r="C164" s="4" t="s">
        <v>110</v>
      </c>
      <c r="D164" s="4" t="s">
        <v>217</v>
      </c>
      <c r="E164" s="4" t="s">
        <v>116</v>
      </c>
      <c r="F164" s="4" t="n">
        <v>3</v>
      </c>
      <c r="G164" s="4" t="s">
        <v>570</v>
      </c>
      <c r="H164" s="4" t="s">
        <v>54</v>
      </c>
      <c r="I164" s="4" t="s">
        <v>455</v>
      </c>
      <c r="J164" s="6" t="n">
        <f aca="false">IFERROR(DATEVALUE(B164),"")</f>
        <v>45828</v>
      </c>
      <c r="K164" s="4" t="str">
        <f aca="false">IF(A164="","",PROPER(TRIM(C164)))</f>
        <v>Midwest</v>
      </c>
      <c r="L164" s="4" t="str">
        <f aca="false">IF(A164="","",PROPER(TRIM(D164)))</f>
        <v>Apparel</v>
      </c>
      <c r="M164" s="4" t="n">
        <f aca="false">IFERROR(VALUE(F164),0)</f>
        <v>3</v>
      </c>
      <c r="N164" s="7" t="n">
        <f aca="false">IFERROR(VALUE(SUBSTITUTE(G164,"$","")),0)</f>
        <v>69.4</v>
      </c>
      <c r="O164" s="4" t="n">
        <f aca="false">IF(A164="",0,IF(COUNTIF($A$2:A164,A164)&gt;1,1,0))</f>
        <v>0</v>
      </c>
      <c r="P164" s="4" t="n">
        <f aca="false">IF(AND(A164&lt;&gt;"",J164&lt;&gt;"",M164&gt;0,N164&gt;0,O164=0),1,0)</f>
        <v>1</v>
      </c>
      <c r="Q164" s="7" t="n">
        <f aca="false">IF(P164=1,M164*N164,0)</f>
        <v>208.2</v>
      </c>
    </row>
    <row r="165" customFormat="false" ht="15" hidden="false" customHeight="false" outlineLevel="0" collapsed="false">
      <c r="A165" s="4" t="n">
        <v>10404</v>
      </c>
      <c r="B165" s="4" t="s">
        <v>571</v>
      </c>
      <c r="C165" s="4" t="s">
        <v>93</v>
      </c>
      <c r="D165" s="4" t="s">
        <v>88</v>
      </c>
      <c r="E165" s="4" t="s">
        <v>116</v>
      </c>
      <c r="F165" s="4" t="n">
        <v>1</v>
      </c>
      <c r="G165" s="4" t="s">
        <v>572</v>
      </c>
      <c r="H165" s="4" t="s">
        <v>47</v>
      </c>
      <c r="I165" s="4" t="s">
        <v>573</v>
      </c>
      <c r="J165" s="6" t="n">
        <f aca="false">IFERROR(DATEVALUE(B165),"")</f>
        <v>45520</v>
      </c>
      <c r="K165" s="4" t="str">
        <f aca="false">IF(A165="","",PROPER(TRIM(C165)))</f>
        <v>West</v>
      </c>
      <c r="L165" s="4" t="str">
        <f aca="false">IF(A165="","",PROPER(TRIM(D165)))</f>
        <v>Apparel</v>
      </c>
      <c r="M165" s="4" t="n">
        <f aca="false">IFERROR(VALUE(F165),0)</f>
        <v>1</v>
      </c>
      <c r="N165" s="7" t="n">
        <f aca="false">IFERROR(VALUE(SUBSTITUTE(G165,"$","")),0)</f>
        <v>64.99</v>
      </c>
      <c r="O165" s="4" t="n">
        <f aca="false">IF(A165="",0,IF(COUNTIF($A$2:A165,A165)&gt;1,1,0))</f>
        <v>0</v>
      </c>
      <c r="P165" s="4" t="n">
        <f aca="false">IF(AND(A165&lt;&gt;"",J165&lt;&gt;"",M165&gt;0,N165&gt;0,O165=0),1,0)</f>
        <v>1</v>
      </c>
      <c r="Q165" s="7" t="n">
        <f aca="false">IF(P165=1,M165*N165,0)</f>
        <v>64.99</v>
      </c>
    </row>
    <row r="166" customFormat="false" ht="15" hidden="false" customHeight="false" outlineLevel="0" collapsed="false">
      <c r="A166" s="4" t="n">
        <v>10666</v>
      </c>
      <c r="B166" s="4" t="s">
        <v>574</v>
      </c>
      <c r="C166" s="4" t="s">
        <v>50</v>
      </c>
      <c r="D166" s="4" t="s">
        <v>575</v>
      </c>
      <c r="E166" s="4" t="s">
        <v>45</v>
      </c>
      <c r="F166" s="4" t="n">
        <v>3</v>
      </c>
      <c r="G166" s="4" t="s">
        <v>576</v>
      </c>
      <c r="H166" s="4" t="s">
        <v>47</v>
      </c>
      <c r="I166" s="4" t="s">
        <v>577</v>
      </c>
      <c r="J166" s="6" t="n">
        <f aca="false">IFERROR(DATEVALUE(B166),"")</f>
        <v>45551</v>
      </c>
      <c r="K166" s="4" t="str">
        <f aca="false">IF(A166="","",PROPER(TRIM(C166)))</f>
        <v>Midwest</v>
      </c>
      <c r="L166" s="4" t="str">
        <f aca="false">IF(A166="","",PROPER(TRIM(D166)))</f>
        <v>Accessories</v>
      </c>
      <c r="M166" s="4" t="n">
        <f aca="false">IFERROR(VALUE(F166),0)</f>
        <v>3</v>
      </c>
      <c r="N166" s="7" t="n">
        <f aca="false">IFERROR(VALUE(SUBSTITUTE(G166,"$","")),0)</f>
        <v>55.74</v>
      </c>
      <c r="O166" s="4" t="n">
        <f aca="false">IF(A166="",0,IF(COUNTIF($A$2:A166,A166)&gt;1,1,0))</f>
        <v>0</v>
      </c>
      <c r="P166" s="4" t="n">
        <f aca="false">IF(AND(A166&lt;&gt;"",J166&lt;&gt;"",M166&gt;0,N166&gt;0,O166=0),1,0)</f>
        <v>1</v>
      </c>
      <c r="Q166" s="7" t="n">
        <f aca="false">IF(P166=1,M166*N166,0)</f>
        <v>167.22</v>
      </c>
    </row>
    <row r="167" customFormat="false" ht="15" hidden="false" customHeight="false" outlineLevel="0" collapsed="false">
      <c r="A167" s="4" t="n">
        <v>10334</v>
      </c>
      <c r="B167" s="4" t="s">
        <v>578</v>
      </c>
      <c r="C167" s="4" t="s">
        <v>332</v>
      </c>
      <c r="D167" s="4" t="s">
        <v>115</v>
      </c>
      <c r="E167" s="4" t="s">
        <v>89</v>
      </c>
      <c r="F167" s="4" t="n">
        <v>1</v>
      </c>
      <c r="G167" s="4"/>
      <c r="H167" s="4" t="s">
        <v>73</v>
      </c>
      <c r="I167" s="4" t="s">
        <v>579</v>
      </c>
      <c r="J167" s="6" t="n">
        <f aca="false">IFERROR(DATEVALUE(B167),"")</f>
        <v>45740</v>
      </c>
      <c r="K167" s="4" t="str">
        <f aca="false">IF(A167="","",PROPER(TRIM(C167)))</f>
        <v>West</v>
      </c>
      <c r="L167" s="4" t="str">
        <f aca="false">IF(A167="","",PROPER(TRIM(D167)))</f>
        <v>Apparel</v>
      </c>
      <c r="M167" s="4" t="n">
        <f aca="false">IFERROR(VALUE(F167),0)</f>
        <v>1</v>
      </c>
      <c r="N167" s="7" t="n">
        <f aca="false">IFERROR(VALUE(SUBSTITUTE(G167,"$","")),0)</f>
        <v>0</v>
      </c>
      <c r="O167" s="4" t="n">
        <f aca="false">IF(A167="",0,IF(COUNTIF($A$2:A167,A167)&gt;1,1,0))</f>
        <v>0</v>
      </c>
      <c r="P167" s="4" t="n">
        <f aca="false">IF(AND(A167&lt;&gt;"",J167&lt;&gt;"",M167&gt;0,N167&gt;0,O167=0),1,0)</f>
        <v>0</v>
      </c>
      <c r="Q167" s="7" t="n">
        <f aca="false">IF(P167=1,M167*N167,0)</f>
        <v>0</v>
      </c>
    </row>
    <row r="168" customFormat="false" ht="15" hidden="false" customHeight="false" outlineLevel="0" collapsed="false">
      <c r="A168" s="4" t="n">
        <v>10577</v>
      </c>
      <c r="B168" s="4" t="s">
        <v>263</v>
      </c>
      <c r="C168" s="4" t="s">
        <v>93</v>
      </c>
      <c r="D168" s="4" t="s">
        <v>179</v>
      </c>
      <c r="E168" s="4" t="s">
        <v>125</v>
      </c>
      <c r="F168" s="4" t="n">
        <v>1</v>
      </c>
      <c r="G168" s="4" t="s">
        <v>580</v>
      </c>
      <c r="H168" s="4" t="s">
        <v>54</v>
      </c>
      <c r="I168" s="4" t="s">
        <v>437</v>
      </c>
      <c r="J168" s="6" t="n">
        <f aca="false">IFERROR(DATEVALUE(B168),"")</f>
        <v>45811</v>
      </c>
      <c r="K168" s="4" t="str">
        <f aca="false">IF(A168="","",PROPER(TRIM(C168)))</f>
        <v>West</v>
      </c>
      <c r="L168" s="4" t="str">
        <f aca="false">IF(A168="","",PROPER(TRIM(D168)))</f>
        <v>Climbing Gear</v>
      </c>
      <c r="M168" s="4" t="n">
        <f aca="false">IFERROR(VALUE(F168),0)</f>
        <v>1</v>
      </c>
      <c r="N168" s="7" t="n">
        <f aca="false">IFERROR(VALUE(SUBSTITUTE(G168,"$","")),0)</f>
        <v>98.62</v>
      </c>
      <c r="O168" s="4" t="n">
        <f aca="false">IF(A168="",0,IF(COUNTIF($A$2:A168,A168)&gt;1,1,0))</f>
        <v>0</v>
      </c>
      <c r="P168" s="4" t="n">
        <f aca="false">IF(AND(A168&lt;&gt;"",J168&lt;&gt;"",M168&gt;0,N168&gt;0,O168=0),1,0)</f>
        <v>1</v>
      </c>
      <c r="Q168" s="7" t="n">
        <f aca="false">IF(P168=1,M168*N168,0)</f>
        <v>98.62</v>
      </c>
    </row>
    <row r="169" customFormat="false" ht="15" hidden="false" customHeight="false" outlineLevel="0" collapsed="false">
      <c r="A169" s="4" t="n">
        <v>10111</v>
      </c>
      <c r="B169" s="4" t="s">
        <v>581</v>
      </c>
      <c r="C169" s="4" t="s">
        <v>178</v>
      </c>
      <c r="D169" s="4" t="s">
        <v>124</v>
      </c>
      <c r="E169" s="4" t="s">
        <v>188</v>
      </c>
      <c r="F169" s="4" t="n">
        <v>1</v>
      </c>
      <c r="G169" s="4" t="s">
        <v>582</v>
      </c>
      <c r="H169" s="4" t="s">
        <v>73</v>
      </c>
      <c r="I169" s="4" t="s">
        <v>583</v>
      </c>
      <c r="J169" s="6" t="n">
        <f aca="false">IFERROR(DATEVALUE(B169),"")</f>
        <v>45342</v>
      </c>
      <c r="K169" s="4" t="str">
        <f aca="false">IF(A169="","",PROPER(TRIM(C169)))</f>
        <v>South</v>
      </c>
      <c r="L169" s="4" t="str">
        <f aca="false">IF(A169="","",PROPER(TRIM(D169)))</f>
        <v>Climbing Gear</v>
      </c>
      <c r="M169" s="4" t="n">
        <f aca="false">IFERROR(VALUE(F169),0)</f>
        <v>1</v>
      </c>
      <c r="N169" s="7" t="n">
        <f aca="false">IFERROR(VALUE(SUBSTITUTE(G169,"$","")),0)</f>
        <v>20.72</v>
      </c>
      <c r="O169" s="4" t="n">
        <f aca="false">IF(A169="",0,IF(COUNTIF($A$2:A169,A169)&gt;1,1,0))</f>
        <v>0</v>
      </c>
      <c r="P169" s="4" t="n">
        <f aca="false">IF(AND(A169&lt;&gt;"",J169&lt;&gt;"",M169&gt;0,N169&gt;0,O169=0),1,0)</f>
        <v>1</v>
      </c>
      <c r="Q169" s="7" t="n">
        <f aca="false">IF(P169=1,M169*N169,0)</f>
        <v>20.72</v>
      </c>
    </row>
    <row r="170" customFormat="false" ht="15" hidden="false" customHeight="false" outlineLevel="0" collapsed="false">
      <c r="A170" s="4" t="n">
        <v>10302</v>
      </c>
      <c r="B170" s="4" t="s">
        <v>584</v>
      </c>
      <c r="C170" s="4" t="s">
        <v>315</v>
      </c>
      <c r="D170" s="4" t="s">
        <v>106</v>
      </c>
      <c r="E170" s="4" t="s">
        <v>111</v>
      </c>
      <c r="F170" s="4" t="n">
        <v>2</v>
      </c>
      <c r="G170" s="4" t="s">
        <v>585</v>
      </c>
      <c r="H170" s="4" t="s">
        <v>73</v>
      </c>
      <c r="I170" s="4" t="s">
        <v>586</v>
      </c>
      <c r="J170" s="6" t="n">
        <f aca="false">IFERROR(DATEVALUE(B170),"")</f>
        <v>45556</v>
      </c>
      <c r="K170" s="4" t="str">
        <f aca="false">IF(A170="","",PROPER(TRIM(C170)))</f>
        <v>South</v>
      </c>
      <c r="L170" s="4" t="str">
        <f aca="false">IF(A170="","",PROPER(TRIM(D170)))</f>
        <v>Footwear</v>
      </c>
      <c r="M170" s="4" t="n">
        <f aca="false">IFERROR(VALUE(F170),0)</f>
        <v>2</v>
      </c>
      <c r="N170" s="7" t="n">
        <f aca="false">IFERROR(VALUE(SUBSTITUTE(G170,"$","")),0)</f>
        <v>94.66</v>
      </c>
      <c r="O170" s="4" t="n">
        <f aca="false">IF(A170="",0,IF(COUNTIF($A$2:A170,A170)&gt;1,1,0))</f>
        <v>0</v>
      </c>
      <c r="P170" s="4" t="n">
        <f aca="false">IF(AND(A170&lt;&gt;"",J170&lt;&gt;"",M170&gt;0,N170&gt;0,O170=0),1,0)</f>
        <v>1</v>
      </c>
      <c r="Q170" s="7" t="n">
        <f aca="false">IF(P170=1,M170*N170,0)</f>
        <v>189.32</v>
      </c>
    </row>
    <row r="171" customFormat="false" ht="15" hidden="false" customHeight="false" outlineLevel="0" collapsed="false">
      <c r="A171" s="4" t="n">
        <v>10123</v>
      </c>
      <c r="B171" s="4" t="s">
        <v>587</v>
      </c>
      <c r="C171" s="4" t="s">
        <v>50</v>
      </c>
      <c r="D171" s="4" t="s">
        <v>575</v>
      </c>
      <c r="E171" s="4" t="s">
        <v>52</v>
      </c>
      <c r="F171" s="4" t="n">
        <v>1</v>
      </c>
      <c r="G171" s="4" t="s">
        <v>588</v>
      </c>
      <c r="H171" s="4" t="s">
        <v>47</v>
      </c>
      <c r="I171" s="4" t="s">
        <v>589</v>
      </c>
      <c r="J171" s="6" t="n">
        <f aca="false">IFERROR(DATEVALUE(B171),"")</f>
        <v>45797</v>
      </c>
      <c r="K171" s="4" t="str">
        <f aca="false">IF(A171="","",PROPER(TRIM(C171)))</f>
        <v>Midwest</v>
      </c>
      <c r="L171" s="4" t="str">
        <f aca="false">IF(A171="","",PROPER(TRIM(D171)))</f>
        <v>Accessories</v>
      </c>
      <c r="M171" s="4" t="n">
        <f aca="false">IFERROR(VALUE(F171),0)</f>
        <v>1</v>
      </c>
      <c r="N171" s="7" t="n">
        <f aca="false">IFERROR(VALUE(SUBSTITUTE(G171,"$","")),0)</f>
        <v>81.72</v>
      </c>
      <c r="O171" s="4" t="n">
        <f aca="false">IF(A171="",0,IF(COUNTIF($A$2:A171,A171)&gt;1,1,0))</f>
        <v>0</v>
      </c>
      <c r="P171" s="4" t="n">
        <f aca="false">IF(AND(A171&lt;&gt;"",J171&lt;&gt;"",M171&gt;0,N171&gt;0,O171=0),1,0)</f>
        <v>1</v>
      </c>
      <c r="Q171" s="7" t="n">
        <f aca="false">IF(P171=1,M171*N171,0)</f>
        <v>81.72</v>
      </c>
    </row>
    <row r="172" customFormat="false" ht="15" hidden="false" customHeight="false" outlineLevel="0" collapsed="false">
      <c r="A172" s="4" t="n">
        <v>10301</v>
      </c>
      <c r="B172" s="4" t="s">
        <v>590</v>
      </c>
      <c r="C172" s="4" t="s">
        <v>105</v>
      </c>
      <c r="D172" s="4" t="s">
        <v>124</v>
      </c>
      <c r="E172" s="4" t="s">
        <v>94</v>
      </c>
      <c r="F172" s="4" t="n">
        <v>5</v>
      </c>
      <c r="G172" s="4" t="s">
        <v>591</v>
      </c>
      <c r="H172" s="4" t="s">
        <v>47</v>
      </c>
      <c r="I172" s="4" t="s">
        <v>131</v>
      </c>
      <c r="J172" s="6" t="n">
        <f aca="false">IFERROR(DATEVALUE(B172),"")</f>
        <v>45759</v>
      </c>
      <c r="K172" s="4" t="str">
        <f aca="false">IF(A172="","",PROPER(TRIM(C172)))</f>
        <v>Midwest</v>
      </c>
      <c r="L172" s="4" t="str">
        <f aca="false">IF(A172="","",PROPER(TRIM(D172)))</f>
        <v>Climbing Gear</v>
      </c>
      <c r="M172" s="4" t="n">
        <f aca="false">IFERROR(VALUE(F172),0)</f>
        <v>5</v>
      </c>
      <c r="N172" s="7" t="n">
        <f aca="false">IFERROR(VALUE(SUBSTITUTE(G172,"$","")),0)</f>
        <v>156.39</v>
      </c>
      <c r="O172" s="4" t="n">
        <f aca="false">IF(A172="",0,IF(COUNTIF($A$2:A172,A172)&gt;1,1,0))</f>
        <v>0</v>
      </c>
      <c r="P172" s="4" t="n">
        <f aca="false">IF(AND(A172&lt;&gt;"",J172&lt;&gt;"",M172&gt;0,N172&gt;0,O172=0),1,0)</f>
        <v>1</v>
      </c>
      <c r="Q172" s="7" t="n">
        <f aca="false">IF(P172=1,M172*N172,0)</f>
        <v>781.95</v>
      </c>
    </row>
    <row r="173" customFormat="false" ht="15" hidden="false" customHeight="false" outlineLevel="0" collapsed="false">
      <c r="A173" s="4" t="n">
        <v>10512</v>
      </c>
      <c r="B173" s="4" t="s">
        <v>592</v>
      </c>
      <c r="C173" s="4" t="s">
        <v>149</v>
      </c>
      <c r="D173" s="4" t="s">
        <v>438</v>
      </c>
      <c r="E173" s="4" t="s">
        <v>151</v>
      </c>
      <c r="F173" s="4" t="n">
        <v>3</v>
      </c>
      <c r="G173" s="4" t="s">
        <v>593</v>
      </c>
      <c r="H173" s="4" t="s">
        <v>54</v>
      </c>
      <c r="I173" s="4" t="s">
        <v>594</v>
      </c>
      <c r="J173" s="6" t="n">
        <f aca="false">IFERROR(DATEVALUE(B173),"")</f>
        <v>45328</v>
      </c>
      <c r="K173" s="4" t="str">
        <f aca="false">IF(A173="","",PROPER(TRIM(C173)))</f>
        <v>East</v>
      </c>
      <c r="L173" s="4" t="str">
        <f aca="false">IF(A173="","",PROPER(TRIM(D173)))</f>
        <v>Footwear</v>
      </c>
      <c r="M173" s="4" t="n">
        <f aca="false">IFERROR(VALUE(F173),0)</f>
        <v>3</v>
      </c>
      <c r="N173" s="7" t="n">
        <f aca="false">IFERROR(VALUE(SUBSTITUTE(G173,"$","")),0)</f>
        <v>140.3</v>
      </c>
      <c r="O173" s="4" t="n">
        <f aca="false">IF(A173="",0,IF(COUNTIF($A$2:A173,A173)&gt;1,1,0))</f>
        <v>0</v>
      </c>
      <c r="P173" s="4" t="n">
        <f aca="false">IF(AND(A173&lt;&gt;"",J173&lt;&gt;"",M173&gt;0,N173&gt;0,O173=0),1,0)</f>
        <v>1</v>
      </c>
      <c r="Q173" s="7" t="n">
        <f aca="false">IF(P173=1,M173*N173,0)</f>
        <v>420.9</v>
      </c>
    </row>
    <row r="174" customFormat="false" ht="15" hidden="false" customHeight="false" outlineLevel="0" collapsed="false">
      <c r="A174" s="4" t="n">
        <v>10564</v>
      </c>
      <c r="B174" s="4" t="s">
        <v>595</v>
      </c>
      <c r="C174" s="4" t="s">
        <v>63</v>
      </c>
      <c r="D174" s="4" t="s">
        <v>164</v>
      </c>
      <c r="E174" s="4" t="s">
        <v>243</v>
      </c>
      <c r="F174" s="4" t="n">
        <v>2</v>
      </c>
      <c r="G174" s="4" t="s">
        <v>596</v>
      </c>
      <c r="H174" s="4" t="s">
        <v>54</v>
      </c>
      <c r="I174" s="4" t="s">
        <v>597</v>
      </c>
      <c r="J174" s="6" t="n">
        <f aca="false">IFERROR(DATEVALUE(B174),"")</f>
        <v>45511</v>
      </c>
      <c r="K174" s="4" t="str">
        <f aca="false">IF(A174="","",PROPER(TRIM(C174)))</f>
        <v>Midwest</v>
      </c>
      <c r="L174" s="4" t="str">
        <f aca="false">IF(A174="","",PROPER(TRIM(D174)))</f>
        <v>Apparel</v>
      </c>
      <c r="M174" s="4" t="n">
        <f aca="false">IFERROR(VALUE(F174),0)</f>
        <v>2</v>
      </c>
      <c r="N174" s="7" t="n">
        <f aca="false">IFERROR(VALUE(SUBSTITUTE(G174,"$","")),0)</f>
        <v>84.71</v>
      </c>
      <c r="O174" s="4" t="n">
        <f aca="false">IF(A174="",0,IF(COUNTIF($A$2:A174,A174)&gt;1,1,0))</f>
        <v>0</v>
      </c>
      <c r="P174" s="4" t="n">
        <f aca="false">IF(AND(A174&lt;&gt;"",J174&lt;&gt;"",M174&gt;0,N174&gt;0,O174=0),1,0)</f>
        <v>1</v>
      </c>
      <c r="Q174" s="7" t="n">
        <f aca="false">IF(P174=1,M174*N174,0)</f>
        <v>169.42</v>
      </c>
    </row>
    <row r="175" customFormat="false" ht="15" hidden="false" customHeight="false" outlineLevel="0" collapsed="false">
      <c r="A175" s="4" t="n">
        <v>10547</v>
      </c>
      <c r="B175" s="4" t="s">
        <v>598</v>
      </c>
      <c r="C175" s="4" t="s">
        <v>50</v>
      </c>
      <c r="D175" s="4" t="s">
        <v>101</v>
      </c>
      <c r="E175" s="4" t="s">
        <v>45</v>
      </c>
      <c r="F175" s="4" t="n">
        <v>3</v>
      </c>
      <c r="G175" s="4" t="s">
        <v>599</v>
      </c>
      <c r="H175" s="4" t="s">
        <v>47</v>
      </c>
      <c r="I175" s="4" t="s">
        <v>600</v>
      </c>
      <c r="J175" s="6" t="n">
        <f aca="false">IFERROR(DATEVALUE(B175),"")</f>
        <v>45779</v>
      </c>
      <c r="K175" s="4" t="str">
        <f aca="false">IF(A175="","",PROPER(TRIM(C175)))</f>
        <v>Midwest</v>
      </c>
      <c r="L175" s="4" t="str">
        <f aca="false">IF(A175="","",PROPER(TRIM(D175)))</f>
        <v>Accessories</v>
      </c>
      <c r="M175" s="4" t="n">
        <f aca="false">IFERROR(VALUE(F175),0)</f>
        <v>3</v>
      </c>
      <c r="N175" s="7" t="n">
        <f aca="false">IFERROR(VALUE(SUBSTITUTE(G175,"$","")),0)</f>
        <v>51.35</v>
      </c>
      <c r="O175" s="4" t="n">
        <f aca="false">IF(A175="",0,IF(COUNTIF($A$2:A175,A175)&gt;1,1,0))</f>
        <v>0</v>
      </c>
      <c r="P175" s="4" t="n">
        <f aca="false">IF(AND(A175&lt;&gt;"",J175&lt;&gt;"",M175&gt;0,N175&gt;0,O175=0),1,0)</f>
        <v>1</v>
      </c>
      <c r="Q175" s="7" t="n">
        <f aca="false">IF(P175=1,M175*N175,0)</f>
        <v>154.05</v>
      </c>
    </row>
    <row r="176" customFormat="false" ht="15" hidden="false" customHeight="false" outlineLevel="0" collapsed="false">
      <c r="A176" s="4" t="n">
        <v>10184</v>
      </c>
      <c r="B176" s="4" t="s">
        <v>601</v>
      </c>
      <c r="C176" s="4" t="s">
        <v>140</v>
      </c>
      <c r="D176" s="4" t="s">
        <v>602</v>
      </c>
      <c r="E176" s="4" t="s">
        <v>59</v>
      </c>
      <c r="F176" s="4" t="n">
        <v>1</v>
      </c>
      <c r="G176" s="4" t="s">
        <v>603</v>
      </c>
      <c r="H176" s="4" t="s">
        <v>73</v>
      </c>
      <c r="I176" s="4" t="s">
        <v>298</v>
      </c>
      <c r="J176" s="6" t="n">
        <f aca="false">IFERROR(DATEVALUE(B176),"")</f>
        <v>45743</v>
      </c>
      <c r="K176" s="4" t="str">
        <f aca="false">IF(A176="","",PROPER(TRIM(C176)))</f>
        <v>South</v>
      </c>
      <c r="L176" s="4" t="str">
        <f aca="false">IF(A176="","",PROPER(TRIM(D176)))</f>
        <v>Climbing Gear</v>
      </c>
      <c r="M176" s="4" t="n">
        <f aca="false">IFERROR(VALUE(F176),0)</f>
        <v>1</v>
      </c>
      <c r="N176" s="7" t="n">
        <f aca="false">IFERROR(VALUE(SUBSTITUTE(G176,"$","")),0)</f>
        <v>41.29</v>
      </c>
      <c r="O176" s="4" t="n">
        <f aca="false">IF(A176="",0,IF(COUNTIF($A$2:A176,A176)&gt;1,1,0))</f>
        <v>0</v>
      </c>
      <c r="P176" s="4" t="n">
        <f aca="false">IF(AND(A176&lt;&gt;"",J176&lt;&gt;"",M176&gt;0,N176&gt;0,O176=0),1,0)</f>
        <v>1</v>
      </c>
      <c r="Q176" s="7" t="n">
        <f aca="false">IF(P176=1,M176*N176,0)</f>
        <v>41.29</v>
      </c>
    </row>
    <row r="177" customFormat="false" ht="15" hidden="false" customHeight="false" outlineLevel="0" collapsed="false">
      <c r="A177" s="4" t="n">
        <v>10392</v>
      </c>
      <c r="B177" s="4" t="s">
        <v>604</v>
      </c>
      <c r="C177" s="4" t="s">
        <v>69</v>
      </c>
      <c r="D177" s="4" t="s">
        <v>575</v>
      </c>
      <c r="E177" s="4" t="s">
        <v>52</v>
      </c>
      <c r="F177" s="4" t="n">
        <v>2</v>
      </c>
      <c r="G177" s="4" t="s">
        <v>605</v>
      </c>
      <c r="H177" s="4" t="s">
        <v>73</v>
      </c>
      <c r="I177" s="4" t="s">
        <v>606</v>
      </c>
      <c r="J177" s="6" t="n">
        <f aca="false">IFERROR(DATEVALUE(B177),"")</f>
        <v>45619</v>
      </c>
      <c r="K177" s="4" t="str">
        <f aca="false">IF(A177="","",PROPER(TRIM(C177)))</f>
        <v>East</v>
      </c>
      <c r="L177" s="4" t="str">
        <f aca="false">IF(A177="","",PROPER(TRIM(D177)))</f>
        <v>Accessories</v>
      </c>
      <c r="M177" s="4" t="n">
        <f aca="false">IFERROR(VALUE(F177),0)</f>
        <v>2</v>
      </c>
      <c r="N177" s="7" t="n">
        <f aca="false">IFERROR(VALUE(SUBSTITUTE(G177,"$","")),0)</f>
        <v>90.77</v>
      </c>
      <c r="O177" s="4" t="n">
        <f aca="false">IF(A177="",0,IF(COUNTIF($A$2:A177,A177)&gt;1,1,0))</f>
        <v>0</v>
      </c>
      <c r="P177" s="4" t="n">
        <f aca="false">IF(AND(A177&lt;&gt;"",J177&lt;&gt;"",M177&gt;0,N177&gt;0,O177=0),1,0)</f>
        <v>1</v>
      </c>
      <c r="Q177" s="7" t="n">
        <f aca="false">IF(P177=1,M177*N177,0)</f>
        <v>181.54</v>
      </c>
    </row>
    <row r="178" customFormat="false" ht="15" hidden="false" customHeight="false" outlineLevel="0" collapsed="false">
      <c r="A178" s="4" t="n">
        <v>10635</v>
      </c>
      <c r="B178" s="4" t="s">
        <v>607</v>
      </c>
      <c r="C178" s="4" t="s">
        <v>183</v>
      </c>
      <c r="D178" s="4" t="s">
        <v>575</v>
      </c>
      <c r="E178" s="4" t="s">
        <v>45</v>
      </c>
      <c r="F178" s="4" t="n">
        <v>1</v>
      </c>
      <c r="G178" s="4"/>
      <c r="H178" s="4" t="s">
        <v>47</v>
      </c>
      <c r="I178" s="4" t="s">
        <v>608</v>
      </c>
      <c r="J178" s="6" t="n">
        <f aca="false">IFERROR(DATEVALUE(B178),"")</f>
        <v>45750</v>
      </c>
      <c r="K178" s="4" t="str">
        <f aca="false">IF(A178="","",PROPER(TRIM(C178)))</f>
        <v>West</v>
      </c>
      <c r="L178" s="4" t="str">
        <f aca="false">IF(A178="","",PROPER(TRIM(D178)))</f>
        <v>Accessories</v>
      </c>
      <c r="M178" s="4" t="n">
        <f aca="false">IFERROR(VALUE(F178),0)</f>
        <v>1</v>
      </c>
      <c r="N178" s="7" t="n">
        <f aca="false">IFERROR(VALUE(SUBSTITUTE(G178,"$","")),0)</f>
        <v>0</v>
      </c>
      <c r="O178" s="4" t="n">
        <f aca="false">IF(A178="",0,IF(COUNTIF($A$2:A178,A178)&gt;1,1,0))</f>
        <v>0</v>
      </c>
      <c r="P178" s="4" t="n">
        <f aca="false">IF(AND(A178&lt;&gt;"",J178&lt;&gt;"",M178&gt;0,N178&gt;0,O178=0),1,0)</f>
        <v>0</v>
      </c>
      <c r="Q178" s="7" t="n">
        <f aca="false">IF(P178=1,M178*N178,0)</f>
        <v>0</v>
      </c>
    </row>
    <row r="179" customFormat="false" ht="15" hidden="false" customHeight="false" outlineLevel="0" collapsed="false">
      <c r="A179" s="4" t="n">
        <v>10593</v>
      </c>
      <c r="B179" s="4" t="s">
        <v>609</v>
      </c>
      <c r="C179" s="4" t="s">
        <v>315</v>
      </c>
      <c r="D179" s="4" t="s">
        <v>64</v>
      </c>
      <c r="E179" s="4" t="s">
        <v>77</v>
      </c>
      <c r="F179" s="4" t="n">
        <v>1</v>
      </c>
      <c r="G179" s="4" t="s">
        <v>610</v>
      </c>
      <c r="H179" s="4" t="s">
        <v>47</v>
      </c>
      <c r="I179" s="4" t="s">
        <v>611</v>
      </c>
      <c r="J179" s="6" t="n">
        <f aca="false">IFERROR(DATEVALUE(B179),"")</f>
        <v>45562</v>
      </c>
      <c r="K179" s="4" t="str">
        <f aca="false">IF(A179="","",PROPER(TRIM(C179)))</f>
        <v>South</v>
      </c>
      <c r="L179" s="4" t="str">
        <f aca="false">IF(A179="","",PROPER(TRIM(D179)))</f>
        <v>Footwear</v>
      </c>
      <c r="M179" s="4" t="n">
        <f aca="false">IFERROR(VALUE(F179),0)</f>
        <v>1</v>
      </c>
      <c r="N179" s="7" t="n">
        <f aca="false">IFERROR(VALUE(SUBSTITUTE(G179,"$","")),0)</f>
        <v>119.83</v>
      </c>
      <c r="O179" s="4" t="n">
        <f aca="false">IF(A179="",0,IF(COUNTIF($A$2:A179,A179)&gt;1,1,0))</f>
        <v>0</v>
      </c>
      <c r="P179" s="4" t="n">
        <f aca="false">IF(AND(A179&lt;&gt;"",J179&lt;&gt;"",M179&gt;0,N179&gt;0,O179=0),1,0)</f>
        <v>1</v>
      </c>
      <c r="Q179" s="7" t="n">
        <f aca="false">IF(P179=1,M179*N179,0)</f>
        <v>119.83</v>
      </c>
    </row>
    <row r="180" customFormat="false" ht="15" hidden="false" customHeight="false" outlineLevel="0" collapsed="false">
      <c r="A180" s="4" t="n">
        <v>10663</v>
      </c>
      <c r="B180" s="4" t="s">
        <v>612</v>
      </c>
      <c r="C180" s="4" t="s">
        <v>93</v>
      </c>
      <c r="D180" s="4" t="s">
        <v>171</v>
      </c>
      <c r="E180" s="4" t="s">
        <v>203</v>
      </c>
      <c r="F180" s="4" t="n">
        <v>1</v>
      </c>
      <c r="G180" s="4" t="s">
        <v>613</v>
      </c>
      <c r="H180" s="4" t="s">
        <v>54</v>
      </c>
      <c r="I180" s="4" t="s">
        <v>476</v>
      </c>
      <c r="J180" s="6" t="n">
        <f aca="false">IFERROR(DATEVALUE(B180),"")</f>
        <v>45366</v>
      </c>
      <c r="K180" s="4" t="str">
        <f aca="false">IF(A180="","",PROPER(TRIM(C180)))</f>
        <v>West</v>
      </c>
      <c r="L180" s="4" t="str">
        <f aca="false">IF(A180="","",PROPER(TRIM(D180)))</f>
        <v>Camping Gear</v>
      </c>
      <c r="M180" s="4" t="n">
        <f aca="false">IFERROR(VALUE(F180),0)</f>
        <v>1</v>
      </c>
      <c r="N180" s="7" t="n">
        <f aca="false">IFERROR(VALUE(SUBSTITUTE(G180,"$","")),0)</f>
        <v>250.14</v>
      </c>
      <c r="O180" s="4" t="n">
        <f aca="false">IF(A180="",0,IF(COUNTIF($A$2:A180,A180)&gt;1,1,0))</f>
        <v>0</v>
      </c>
      <c r="P180" s="4" t="n">
        <f aca="false">IF(AND(A180&lt;&gt;"",J180&lt;&gt;"",M180&gt;0,N180&gt;0,O180=0),1,0)</f>
        <v>1</v>
      </c>
      <c r="Q180" s="7" t="n">
        <f aca="false">IF(P180=1,M180*N180,0)</f>
        <v>250.14</v>
      </c>
    </row>
    <row r="181" customFormat="false" ht="15" hidden="false" customHeight="false" outlineLevel="0" collapsed="false">
      <c r="A181" s="4" t="n">
        <v>10655</v>
      </c>
      <c r="B181" s="4" t="s">
        <v>614</v>
      </c>
      <c r="C181" s="4" t="s">
        <v>178</v>
      </c>
      <c r="D181" s="4" t="s">
        <v>387</v>
      </c>
      <c r="E181" s="4" t="s">
        <v>71</v>
      </c>
      <c r="F181" s="4" t="n">
        <v>1</v>
      </c>
      <c r="G181" s="4" t="s">
        <v>615</v>
      </c>
      <c r="H181" s="4" t="s">
        <v>47</v>
      </c>
      <c r="I181" s="4" t="s">
        <v>616</v>
      </c>
      <c r="J181" s="6" t="n">
        <f aca="false">IFERROR(DATEVALUE(B181),"")</f>
        <v>45486</v>
      </c>
      <c r="K181" s="4" t="str">
        <f aca="false">IF(A181="","",PROPER(TRIM(C181)))</f>
        <v>South</v>
      </c>
      <c r="L181" s="4" t="str">
        <f aca="false">IF(A181="","",PROPER(TRIM(D181)))</f>
        <v>Camping Gear</v>
      </c>
      <c r="M181" s="4" t="n">
        <f aca="false">IFERROR(VALUE(F181),0)</f>
        <v>1</v>
      </c>
      <c r="N181" s="7" t="n">
        <f aca="false">IFERROR(VALUE(SUBSTITUTE(G181,"$","")),0)</f>
        <v>73.81</v>
      </c>
      <c r="O181" s="4" t="n">
        <f aca="false">IF(A181="",0,IF(COUNTIF($A$2:A181,A181)&gt;1,1,0))</f>
        <v>0</v>
      </c>
      <c r="P181" s="4" t="n">
        <f aca="false">IF(AND(A181&lt;&gt;"",J181&lt;&gt;"",M181&gt;0,N181&gt;0,O181=0),1,0)</f>
        <v>1</v>
      </c>
      <c r="Q181" s="7" t="n">
        <f aca="false">IF(P181=1,M181*N181,0)</f>
        <v>73.81</v>
      </c>
    </row>
    <row r="182" customFormat="false" ht="15" hidden="false" customHeight="false" outlineLevel="0" collapsed="false">
      <c r="A182" s="4" t="n">
        <v>10385</v>
      </c>
      <c r="B182" s="4" t="s">
        <v>617</v>
      </c>
      <c r="C182" s="4" t="s">
        <v>155</v>
      </c>
      <c r="D182" s="4" t="s">
        <v>179</v>
      </c>
      <c r="E182" s="4" t="s">
        <v>188</v>
      </c>
      <c r="F182" s="4" t="n">
        <v>1</v>
      </c>
      <c r="G182" s="4" t="s">
        <v>618</v>
      </c>
      <c r="H182" s="4" t="s">
        <v>73</v>
      </c>
      <c r="I182" s="4" t="s">
        <v>286</v>
      </c>
      <c r="J182" s="6" t="n">
        <f aca="false">IFERROR(DATEVALUE(B182),"")</f>
        <v>45347</v>
      </c>
      <c r="K182" s="4" t="str">
        <f aca="false">IF(A182="","",PROPER(TRIM(C182)))</f>
        <v>South</v>
      </c>
      <c r="L182" s="4" t="str">
        <f aca="false">IF(A182="","",PROPER(TRIM(D182)))</f>
        <v>Climbing Gear</v>
      </c>
      <c r="M182" s="4" t="n">
        <f aca="false">IFERROR(VALUE(F182),0)</f>
        <v>1</v>
      </c>
      <c r="N182" s="7" t="n">
        <f aca="false">IFERROR(VALUE(SUBSTITUTE(G182,"$","")),0)</f>
        <v>22.92</v>
      </c>
      <c r="O182" s="4" t="n">
        <f aca="false">IF(A182="",0,IF(COUNTIF($A$2:A182,A182)&gt;1,1,0))</f>
        <v>0</v>
      </c>
      <c r="P182" s="4" t="n">
        <f aca="false">IF(AND(A182&lt;&gt;"",J182&lt;&gt;"",M182&gt;0,N182&gt;0,O182=0),1,0)</f>
        <v>1</v>
      </c>
      <c r="Q182" s="7" t="n">
        <f aca="false">IF(P182=1,M182*N182,0)</f>
        <v>22.92</v>
      </c>
    </row>
    <row r="183" customFormat="false" ht="15" hidden="false" customHeight="false" outlineLevel="0" collapsed="false">
      <c r="A183" s="4" t="n">
        <v>10430</v>
      </c>
      <c r="B183" s="4" t="s">
        <v>619</v>
      </c>
      <c r="C183" s="4" t="s">
        <v>155</v>
      </c>
      <c r="D183" s="4" t="s">
        <v>179</v>
      </c>
      <c r="E183" s="4" t="s">
        <v>59</v>
      </c>
      <c r="F183" s="4" t="n">
        <v>2</v>
      </c>
      <c r="G183" s="4" t="s">
        <v>620</v>
      </c>
      <c r="H183" s="4" t="s">
        <v>54</v>
      </c>
      <c r="I183" s="4" t="s">
        <v>621</v>
      </c>
      <c r="J183" s="6" t="n">
        <f aca="false">IFERROR(DATEVALUE(B183),"")</f>
        <v>45359</v>
      </c>
      <c r="K183" s="4" t="str">
        <f aca="false">IF(A183="","",PROPER(TRIM(C183)))</f>
        <v>South</v>
      </c>
      <c r="L183" s="4" t="str">
        <f aca="false">IF(A183="","",PROPER(TRIM(D183)))</f>
        <v>Climbing Gear</v>
      </c>
      <c r="M183" s="4" t="n">
        <f aca="false">IFERROR(VALUE(F183),0)</f>
        <v>2</v>
      </c>
      <c r="N183" s="7" t="n">
        <f aca="false">IFERROR(VALUE(SUBSTITUTE(G183,"$","")),0)</f>
        <v>40.08</v>
      </c>
      <c r="O183" s="4" t="n">
        <f aca="false">IF(A183="",0,IF(COUNTIF($A$2:A183,A183)&gt;1,1,0))</f>
        <v>0</v>
      </c>
      <c r="P183" s="4" t="n">
        <f aca="false">IF(AND(A183&lt;&gt;"",J183&lt;&gt;"",M183&gt;0,N183&gt;0,O183=0),1,0)</f>
        <v>1</v>
      </c>
      <c r="Q183" s="7" t="n">
        <f aca="false">IF(P183=1,M183*N183,0)</f>
        <v>80.16</v>
      </c>
    </row>
    <row r="184" customFormat="false" ht="15" hidden="false" customHeight="false" outlineLevel="0" collapsed="false">
      <c r="A184" s="4" t="n">
        <v>10591</v>
      </c>
      <c r="B184" s="4" t="s">
        <v>206</v>
      </c>
      <c r="C184" s="4" t="s">
        <v>110</v>
      </c>
      <c r="D184" s="4" t="s">
        <v>281</v>
      </c>
      <c r="E184" s="4" t="s">
        <v>251</v>
      </c>
      <c r="F184" s="4" t="n">
        <v>1</v>
      </c>
      <c r="G184" s="4" t="s">
        <v>622</v>
      </c>
      <c r="H184" s="4" t="s">
        <v>54</v>
      </c>
      <c r="I184" s="4" t="s">
        <v>205</v>
      </c>
      <c r="J184" s="6" t="str">
        <f aca="false">IFERROR(DATEVALUE(B184),"")</f>
        <v/>
      </c>
      <c r="K184" s="4" t="str">
        <f aca="false">IF(A184="","",PROPER(TRIM(C184)))</f>
        <v>Midwest</v>
      </c>
      <c r="L184" s="4" t="str">
        <f aca="false">IF(A184="","",PROPER(TRIM(D184)))</f>
        <v>Camping Gear</v>
      </c>
      <c r="M184" s="4" t="n">
        <f aca="false">IFERROR(VALUE(F184),0)</f>
        <v>1</v>
      </c>
      <c r="N184" s="7" t="n">
        <f aca="false">IFERROR(VALUE(SUBSTITUTE(G184,"$","")),0)</f>
        <v>88.88</v>
      </c>
      <c r="O184" s="4" t="n">
        <f aca="false">IF(A184="",0,IF(COUNTIF($A$2:A184,A184)&gt;1,1,0))</f>
        <v>0</v>
      </c>
      <c r="P184" s="4" t="n">
        <f aca="false">IF(AND(A184&lt;&gt;"",J184&lt;&gt;"",M184&gt;0,N184&gt;0,O184=0),1,0)</f>
        <v>0</v>
      </c>
      <c r="Q184" s="7" t="n">
        <f aca="false">IF(P184=1,M184*N184,0)</f>
        <v>0</v>
      </c>
    </row>
    <row r="185" customFormat="false" ht="15" hidden="false" customHeight="false" outlineLevel="0" collapsed="false">
      <c r="A185" s="4" t="n">
        <v>10745</v>
      </c>
      <c r="B185" s="4" t="s">
        <v>623</v>
      </c>
      <c r="C185" s="4" t="s">
        <v>155</v>
      </c>
      <c r="D185" s="4" t="s">
        <v>387</v>
      </c>
      <c r="E185" s="4" t="s">
        <v>71</v>
      </c>
      <c r="F185" s="4" t="n">
        <v>1</v>
      </c>
      <c r="G185" s="4" t="s">
        <v>624</v>
      </c>
      <c r="H185" s="4" t="s">
        <v>73</v>
      </c>
      <c r="I185" s="4" t="s">
        <v>271</v>
      </c>
      <c r="J185" s="6" t="n">
        <f aca="false">IFERROR(DATEVALUE(B185),"")</f>
        <v>45642</v>
      </c>
      <c r="K185" s="4" t="str">
        <f aca="false">IF(A185="","",PROPER(TRIM(C185)))</f>
        <v>South</v>
      </c>
      <c r="L185" s="4" t="str">
        <f aca="false">IF(A185="","",PROPER(TRIM(D185)))</f>
        <v>Camping Gear</v>
      </c>
      <c r="M185" s="4" t="n">
        <f aca="false">IFERROR(VALUE(F185),0)</f>
        <v>1</v>
      </c>
      <c r="N185" s="7" t="n">
        <f aca="false">IFERROR(VALUE(SUBSTITUTE(G185,"$","")),0)</f>
        <v>58.89</v>
      </c>
      <c r="O185" s="4" t="n">
        <f aca="false">IF(A185="",0,IF(COUNTIF($A$2:A185,A185)&gt;1,1,0))</f>
        <v>0</v>
      </c>
      <c r="P185" s="4" t="n">
        <f aca="false">IF(AND(A185&lt;&gt;"",J185&lt;&gt;"",M185&gt;0,N185&gt;0,O185=0),1,0)</f>
        <v>1</v>
      </c>
      <c r="Q185" s="7" t="n">
        <f aca="false">IF(P185=1,M185*N185,0)</f>
        <v>58.89</v>
      </c>
    </row>
    <row r="186" customFormat="false" ht="15" hidden="false" customHeight="false" outlineLevel="0" collapsed="false">
      <c r="A186" s="4" t="n">
        <v>10599</v>
      </c>
      <c r="B186" s="4" t="s">
        <v>625</v>
      </c>
      <c r="C186" s="4" t="s">
        <v>50</v>
      </c>
      <c r="D186" s="4" t="s">
        <v>575</v>
      </c>
      <c r="E186" s="4" t="s">
        <v>52</v>
      </c>
      <c r="F186" s="4" t="n">
        <v>1</v>
      </c>
      <c r="G186" s="4" t="s">
        <v>626</v>
      </c>
      <c r="H186" s="4" t="s">
        <v>47</v>
      </c>
      <c r="I186" s="4" t="s">
        <v>627</v>
      </c>
      <c r="J186" s="6" t="n">
        <f aca="false">IFERROR(DATEVALUE(B186),"")</f>
        <v>45812</v>
      </c>
      <c r="K186" s="4" t="str">
        <f aca="false">IF(A186="","",PROPER(TRIM(C186)))</f>
        <v>Midwest</v>
      </c>
      <c r="L186" s="4" t="str">
        <f aca="false">IF(A186="","",PROPER(TRIM(D186)))</f>
        <v>Accessories</v>
      </c>
      <c r="M186" s="4" t="n">
        <f aca="false">IFERROR(VALUE(F186),0)</f>
        <v>1</v>
      </c>
      <c r="N186" s="7" t="n">
        <f aca="false">IFERROR(VALUE(SUBSTITUTE(G186,"$","")),0)</f>
        <v>93.98</v>
      </c>
      <c r="O186" s="4" t="n">
        <f aca="false">IF(A186="",0,IF(COUNTIF($A$2:A186,A186)&gt;1,1,0))</f>
        <v>0</v>
      </c>
      <c r="P186" s="4" t="n">
        <f aca="false">IF(AND(A186&lt;&gt;"",J186&lt;&gt;"",M186&gt;0,N186&gt;0,O186=0),1,0)</f>
        <v>1</v>
      </c>
      <c r="Q186" s="7" t="n">
        <f aca="false">IF(P186=1,M186*N186,0)</f>
        <v>93.98</v>
      </c>
    </row>
    <row r="187" customFormat="false" ht="15" hidden="false" customHeight="false" outlineLevel="0" collapsed="false">
      <c r="A187" s="4" t="n">
        <v>10202</v>
      </c>
      <c r="B187" s="4" t="s">
        <v>628</v>
      </c>
      <c r="C187" s="4" t="s">
        <v>149</v>
      </c>
      <c r="D187" s="4" t="s">
        <v>171</v>
      </c>
      <c r="E187" s="4" t="s">
        <v>203</v>
      </c>
      <c r="F187" s="4" t="n">
        <v>1</v>
      </c>
      <c r="G187" s="4" t="s">
        <v>629</v>
      </c>
      <c r="H187" s="4" t="s">
        <v>47</v>
      </c>
      <c r="I187" s="4" t="s">
        <v>401</v>
      </c>
      <c r="J187" s="6" t="n">
        <f aca="false">IFERROR(DATEVALUE(B187),"")</f>
        <v>45629</v>
      </c>
      <c r="K187" s="4" t="str">
        <f aca="false">IF(A187="","",PROPER(TRIM(C187)))</f>
        <v>East</v>
      </c>
      <c r="L187" s="4" t="str">
        <f aca="false">IF(A187="","",PROPER(TRIM(D187)))</f>
        <v>Camping Gear</v>
      </c>
      <c r="M187" s="4" t="n">
        <f aca="false">IFERROR(VALUE(F187),0)</f>
        <v>1</v>
      </c>
      <c r="N187" s="7" t="n">
        <f aca="false">IFERROR(VALUE(SUBSTITUTE(G187,"$","")),0)</f>
        <v>220.82</v>
      </c>
      <c r="O187" s="4" t="n">
        <f aca="false">IF(A187="",0,IF(COUNTIF($A$2:A187,A187)&gt;1,1,0))</f>
        <v>0</v>
      </c>
      <c r="P187" s="4" t="n">
        <f aca="false">IF(AND(A187&lt;&gt;"",J187&lt;&gt;"",M187&gt;0,N187&gt;0,O187=0),1,0)</f>
        <v>1</v>
      </c>
      <c r="Q187" s="7" t="n">
        <f aca="false">IF(P187=1,M187*N187,0)</f>
        <v>220.82</v>
      </c>
    </row>
    <row r="188" customFormat="false" ht="15" hidden="false" customHeight="false" outlineLevel="0" collapsed="false">
      <c r="A188" s="4" t="n">
        <v>10377</v>
      </c>
      <c r="B188" s="4" t="s">
        <v>630</v>
      </c>
      <c r="C188" s="4" t="s">
        <v>50</v>
      </c>
      <c r="D188" s="4" t="s">
        <v>70</v>
      </c>
      <c r="E188" s="4" t="s">
        <v>71</v>
      </c>
      <c r="F188" s="4" t="n">
        <v>1</v>
      </c>
      <c r="G188" s="4" t="s">
        <v>631</v>
      </c>
      <c r="H188" s="4" t="s">
        <v>73</v>
      </c>
      <c r="I188" s="4" t="s">
        <v>274</v>
      </c>
      <c r="J188" s="6" t="n">
        <f aca="false">IFERROR(DATEVALUE(B188),"")</f>
        <v>45324</v>
      </c>
      <c r="K188" s="4" t="str">
        <f aca="false">IF(A188="","",PROPER(TRIM(C188)))</f>
        <v>Midwest</v>
      </c>
      <c r="L188" s="4" t="str">
        <f aca="false">IF(A188="","",PROPER(TRIM(D188)))</f>
        <v>Camping Gear</v>
      </c>
      <c r="M188" s="4" t="n">
        <f aca="false">IFERROR(VALUE(F188),0)</f>
        <v>1</v>
      </c>
      <c r="N188" s="7" t="n">
        <f aca="false">IFERROR(VALUE(SUBSTITUTE(G188,"$","")),0)</f>
        <v>65.02</v>
      </c>
      <c r="O188" s="4" t="n">
        <f aca="false">IF(A188="",0,IF(COUNTIF($A$2:A188,A188)&gt;1,1,0))</f>
        <v>0</v>
      </c>
      <c r="P188" s="4" t="n">
        <f aca="false">IF(AND(A188&lt;&gt;"",J188&lt;&gt;"",M188&gt;0,N188&gt;0,O188=0),1,0)</f>
        <v>1</v>
      </c>
      <c r="Q188" s="7" t="n">
        <f aca="false">IF(P188=1,M188*N188,0)</f>
        <v>65.02</v>
      </c>
    </row>
    <row r="189" customFormat="false" ht="15" hidden="false" customHeight="false" outlineLevel="0" collapsed="false">
      <c r="A189" s="4" t="n">
        <v>10485</v>
      </c>
      <c r="B189" s="4" t="s">
        <v>632</v>
      </c>
      <c r="C189" s="4" t="s">
        <v>183</v>
      </c>
      <c r="D189" s="4" t="s">
        <v>333</v>
      </c>
      <c r="E189" s="4" t="s">
        <v>160</v>
      </c>
      <c r="F189" s="4" t="n">
        <v>2</v>
      </c>
      <c r="G189" s="4" t="s">
        <v>633</v>
      </c>
      <c r="H189" s="4" t="s">
        <v>47</v>
      </c>
      <c r="I189" s="4" t="s">
        <v>634</v>
      </c>
      <c r="J189" s="6" t="n">
        <f aca="false">IFERROR(DATEVALUE(B189),"")</f>
        <v>45673</v>
      </c>
      <c r="K189" s="4" t="str">
        <f aca="false">IF(A189="","",PROPER(TRIM(C189)))</f>
        <v>West</v>
      </c>
      <c r="L189" s="4" t="str">
        <f aca="false">IF(A189="","",PROPER(TRIM(D189)))</f>
        <v>Accessories</v>
      </c>
      <c r="M189" s="4" t="n">
        <f aca="false">IFERROR(VALUE(F189),0)</f>
        <v>2</v>
      </c>
      <c r="N189" s="7" t="n">
        <f aca="false">IFERROR(VALUE(SUBSTITUTE(G189,"$","")),0)</f>
        <v>23.52</v>
      </c>
      <c r="O189" s="4" t="n">
        <f aca="false">IF(A189="",0,IF(COUNTIF($A$2:A189,A189)&gt;1,1,0))</f>
        <v>0</v>
      </c>
      <c r="P189" s="4" t="n">
        <f aca="false">IF(AND(A189&lt;&gt;"",J189&lt;&gt;"",M189&gt;0,N189&gt;0,O189=0),1,0)</f>
        <v>1</v>
      </c>
      <c r="Q189" s="7" t="n">
        <f aca="false">IF(P189=1,M189*N189,0)</f>
        <v>47.04</v>
      </c>
    </row>
    <row r="190" customFormat="false" ht="15" hidden="false" customHeight="false" outlineLevel="0" collapsed="false">
      <c r="A190" s="4" t="n">
        <v>10047</v>
      </c>
      <c r="B190" s="4" t="s">
        <v>635</v>
      </c>
      <c r="C190" s="4" t="s">
        <v>315</v>
      </c>
      <c r="D190" s="4" t="s">
        <v>230</v>
      </c>
      <c r="E190" s="4" t="s">
        <v>142</v>
      </c>
      <c r="F190" s="4" t="n">
        <v>2</v>
      </c>
      <c r="G190" s="4" t="s">
        <v>636</v>
      </c>
      <c r="H190" s="4" t="s">
        <v>73</v>
      </c>
      <c r="I190" s="4" t="s">
        <v>637</v>
      </c>
      <c r="J190" s="6" t="n">
        <f aca="false">IFERROR(DATEVALUE(B190),"")</f>
        <v>45546</v>
      </c>
      <c r="K190" s="4" t="str">
        <f aca="false">IF(A190="","",PROPER(TRIM(C190)))</f>
        <v>South</v>
      </c>
      <c r="L190" s="4" t="str">
        <f aca="false">IF(A190="","",PROPER(TRIM(D190)))</f>
        <v>Apparel</v>
      </c>
      <c r="M190" s="4" t="n">
        <f aca="false">IFERROR(VALUE(F190),0)</f>
        <v>2</v>
      </c>
      <c r="N190" s="7" t="n">
        <f aca="false">IFERROR(VALUE(SUBSTITUTE(G190,"$","")),0)</f>
        <v>174.19</v>
      </c>
      <c r="O190" s="4" t="n">
        <f aca="false">IF(A190="",0,IF(COUNTIF($A$2:A190,A190)&gt;1,1,0))</f>
        <v>0</v>
      </c>
      <c r="P190" s="4" t="n">
        <f aca="false">IF(AND(A190&lt;&gt;"",J190&lt;&gt;"",M190&gt;0,N190&gt;0,O190=0),1,0)</f>
        <v>1</v>
      </c>
      <c r="Q190" s="7" t="n">
        <f aca="false">IF(P190=1,M190*N190,0)</f>
        <v>348.38</v>
      </c>
    </row>
    <row r="191" customFormat="false" ht="15" hidden="false" customHeight="false" outlineLevel="0" collapsed="false">
      <c r="A191" s="4" t="n">
        <v>10054</v>
      </c>
      <c r="B191" s="4" t="s">
        <v>530</v>
      </c>
      <c r="C191" s="4" t="s">
        <v>93</v>
      </c>
      <c r="D191" s="4" t="s">
        <v>81</v>
      </c>
      <c r="E191" s="4" t="s">
        <v>111</v>
      </c>
      <c r="F191" s="4" t="n">
        <v>4</v>
      </c>
      <c r="G191" s="4" t="s">
        <v>638</v>
      </c>
      <c r="H191" s="4" t="s">
        <v>47</v>
      </c>
      <c r="I191" s="4" t="s">
        <v>440</v>
      </c>
      <c r="J191" s="6" t="n">
        <f aca="false">IFERROR(DATEVALUE(B191),"")</f>
        <v>45613</v>
      </c>
      <c r="K191" s="4" t="str">
        <f aca="false">IF(A191="","",PROPER(TRIM(C191)))</f>
        <v>West</v>
      </c>
      <c r="L191" s="4" t="str">
        <f aca="false">IF(A191="","",PROPER(TRIM(D191)))</f>
        <v>Footwear</v>
      </c>
      <c r="M191" s="4" t="n">
        <f aca="false">IFERROR(VALUE(F191),0)</f>
        <v>4</v>
      </c>
      <c r="N191" s="7" t="n">
        <f aca="false">IFERROR(VALUE(SUBSTITUTE(G191,"$","")),0)</f>
        <v>89.84</v>
      </c>
      <c r="O191" s="4" t="n">
        <f aca="false">IF(A191="",0,IF(COUNTIF($A$2:A191,A191)&gt;1,1,0))</f>
        <v>0</v>
      </c>
      <c r="P191" s="4" t="n">
        <f aca="false">IF(AND(A191&lt;&gt;"",J191&lt;&gt;"",M191&gt;0,N191&gt;0,O191=0),1,0)</f>
        <v>1</v>
      </c>
      <c r="Q191" s="7" t="n">
        <f aca="false">IF(P191=1,M191*N191,0)</f>
        <v>359.36</v>
      </c>
    </row>
    <row r="192" customFormat="false" ht="15" hidden="false" customHeight="false" outlineLevel="0" collapsed="false">
      <c r="A192" s="4" t="n">
        <v>10055</v>
      </c>
      <c r="B192" s="4" t="s">
        <v>639</v>
      </c>
      <c r="C192" s="4" t="s">
        <v>57</v>
      </c>
      <c r="D192" s="4" t="s">
        <v>70</v>
      </c>
      <c r="E192" s="4" t="s">
        <v>71</v>
      </c>
      <c r="F192" s="4" t="n">
        <v>1</v>
      </c>
      <c r="G192" s="4" t="s">
        <v>640</v>
      </c>
      <c r="H192" s="4" t="s">
        <v>47</v>
      </c>
      <c r="I192" s="4" t="s">
        <v>641</v>
      </c>
      <c r="J192" s="6" t="n">
        <f aca="false">IFERROR(DATEVALUE(B192),"")</f>
        <v>45403</v>
      </c>
      <c r="K192" s="4" t="str">
        <f aca="false">IF(A192="","",PROPER(TRIM(C192)))</f>
        <v>West</v>
      </c>
      <c r="L192" s="4" t="str">
        <f aca="false">IF(A192="","",PROPER(TRIM(D192)))</f>
        <v>Camping Gear</v>
      </c>
      <c r="M192" s="4" t="n">
        <f aca="false">IFERROR(VALUE(F192),0)</f>
        <v>1</v>
      </c>
      <c r="N192" s="7" t="n">
        <f aca="false">IFERROR(VALUE(SUBSTITUTE(G192,"$","")),0)</f>
        <v>65.68</v>
      </c>
      <c r="O192" s="4" t="n">
        <f aca="false">IF(A192="",0,IF(COUNTIF($A$2:A192,A192)&gt;1,1,0))</f>
        <v>0</v>
      </c>
      <c r="P192" s="4" t="n">
        <f aca="false">IF(AND(A192&lt;&gt;"",J192&lt;&gt;"",M192&gt;0,N192&gt;0,O192=0),1,0)</f>
        <v>1</v>
      </c>
      <c r="Q192" s="7" t="n">
        <f aca="false">IF(P192=1,M192*N192,0)</f>
        <v>65.68</v>
      </c>
    </row>
    <row r="193" customFormat="false" ht="15" hidden="false" customHeight="false" outlineLevel="0" collapsed="false">
      <c r="A193" s="4" t="n">
        <v>10601</v>
      </c>
      <c r="B193" s="4" t="s">
        <v>642</v>
      </c>
      <c r="C193" s="4" t="s">
        <v>332</v>
      </c>
      <c r="D193" s="4" t="s">
        <v>129</v>
      </c>
      <c r="E193" s="4" t="s">
        <v>94</v>
      </c>
      <c r="F193" s="4" t="n">
        <v>4</v>
      </c>
      <c r="G193" s="4" t="s">
        <v>643</v>
      </c>
      <c r="H193" s="4" t="s">
        <v>73</v>
      </c>
      <c r="I193" s="4" t="s">
        <v>644</v>
      </c>
      <c r="J193" s="6" t="n">
        <f aca="false">IFERROR(DATEVALUE(B193),"")</f>
        <v>45468</v>
      </c>
      <c r="K193" s="4" t="str">
        <f aca="false">IF(A193="","",PROPER(TRIM(C193)))</f>
        <v>West</v>
      </c>
      <c r="L193" s="4" t="str">
        <f aca="false">IF(A193="","",PROPER(TRIM(D193)))</f>
        <v>Climbing Gear</v>
      </c>
      <c r="M193" s="4" t="n">
        <f aca="false">IFERROR(VALUE(F193),0)</f>
        <v>4</v>
      </c>
      <c r="N193" s="7" t="n">
        <f aca="false">IFERROR(VALUE(SUBSTITUTE(G193,"$","")),0)</f>
        <v>159.45</v>
      </c>
      <c r="O193" s="4" t="n">
        <f aca="false">IF(A193="",0,IF(COUNTIF($A$2:A193,A193)&gt;1,1,0))</f>
        <v>0</v>
      </c>
      <c r="P193" s="4" t="n">
        <f aca="false">IF(AND(A193&lt;&gt;"",J193&lt;&gt;"",M193&gt;0,N193&gt;0,O193=0),1,0)</f>
        <v>1</v>
      </c>
      <c r="Q193" s="7" t="n">
        <f aca="false">IF(P193=1,M193*N193,0)</f>
        <v>637.8</v>
      </c>
    </row>
    <row r="194" customFormat="false" ht="15" hidden="false" customHeight="false" outlineLevel="0" collapsed="false">
      <c r="A194" s="4" t="n">
        <v>10477</v>
      </c>
      <c r="B194" s="4" t="s">
        <v>347</v>
      </c>
      <c r="C194" s="4" t="s">
        <v>229</v>
      </c>
      <c r="D194" s="4" t="s">
        <v>164</v>
      </c>
      <c r="E194" s="4" t="s">
        <v>89</v>
      </c>
      <c r="F194" s="4" t="n">
        <v>4</v>
      </c>
      <c r="G194" s="4" t="s">
        <v>348</v>
      </c>
      <c r="H194" s="4" t="s">
        <v>73</v>
      </c>
      <c r="I194" s="4" t="s">
        <v>349</v>
      </c>
      <c r="J194" s="6" t="n">
        <f aca="false">IFERROR(DATEVALUE(B194),"")</f>
        <v>45444</v>
      </c>
      <c r="K194" s="4" t="str">
        <f aca="false">IF(A194="","",PROPER(TRIM(C194)))</f>
        <v>Midwest</v>
      </c>
      <c r="L194" s="4" t="str">
        <f aca="false">IF(A194="","",PROPER(TRIM(D194)))</f>
        <v>Apparel</v>
      </c>
      <c r="M194" s="4" t="n">
        <f aca="false">IFERROR(VALUE(F194),0)</f>
        <v>4</v>
      </c>
      <c r="N194" s="7" t="n">
        <f aca="false">IFERROR(VALUE(SUBSTITUTE(G194,"$","")),0)</f>
        <v>66.94</v>
      </c>
      <c r="O194" s="4" t="n">
        <f aca="false">IF(A194="",0,IF(COUNTIF($A$2:A194,A194)&gt;1,1,0))</f>
        <v>1</v>
      </c>
      <c r="P194" s="4" t="n">
        <f aca="false">IF(AND(A194&lt;&gt;"",J194&lt;&gt;"",M194&gt;0,N194&gt;0,O194=0),1,0)</f>
        <v>0</v>
      </c>
      <c r="Q194" s="7" t="n">
        <f aca="false">IF(P194=1,M194*N194,0)</f>
        <v>0</v>
      </c>
    </row>
    <row r="195" customFormat="false" ht="15" hidden="false" customHeight="false" outlineLevel="0" collapsed="false">
      <c r="A195" s="4" t="n">
        <v>10489</v>
      </c>
      <c r="B195" s="4" t="s">
        <v>645</v>
      </c>
      <c r="C195" s="4" t="s">
        <v>50</v>
      </c>
      <c r="D195" s="4" t="s">
        <v>217</v>
      </c>
      <c r="E195" s="4" t="s">
        <v>116</v>
      </c>
      <c r="F195" s="4" t="n">
        <v>1</v>
      </c>
      <c r="G195" s="4" t="s">
        <v>646</v>
      </c>
      <c r="H195" s="4" t="s">
        <v>73</v>
      </c>
      <c r="I195" s="4" t="s">
        <v>647</v>
      </c>
      <c r="J195" s="6" t="n">
        <f aca="false">IFERROR(DATEVALUE(B195),"")</f>
        <v>45336</v>
      </c>
      <c r="K195" s="4" t="str">
        <f aca="false">IF(A195="","",PROPER(TRIM(C195)))</f>
        <v>Midwest</v>
      </c>
      <c r="L195" s="4" t="str">
        <f aca="false">IF(A195="","",PROPER(TRIM(D195)))</f>
        <v>Apparel</v>
      </c>
      <c r="M195" s="4" t="n">
        <f aca="false">IFERROR(VALUE(F195),0)</f>
        <v>1</v>
      </c>
      <c r="N195" s="7" t="n">
        <f aca="false">IFERROR(VALUE(SUBSTITUTE(G195,"$","")),0)</f>
        <v>71.05</v>
      </c>
      <c r="O195" s="4" t="n">
        <f aca="false">IF(A195="",0,IF(COUNTIF($A$2:A195,A195)&gt;1,1,0))</f>
        <v>0</v>
      </c>
      <c r="P195" s="4" t="n">
        <f aca="false">IF(AND(A195&lt;&gt;"",J195&lt;&gt;"",M195&gt;0,N195&gt;0,O195=0),1,0)</f>
        <v>1</v>
      </c>
      <c r="Q195" s="7" t="n">
        <f aca="false">IF(P195=1,M195*N195,0)</f>
        <v>71.05</v>
      </c>
    </row>
    <row r="197" customFormat="false" ht="15" hidden="false" customHeight="false" outlineLevel="0" collapsed="false">
      <c r="A197" s="4" t="n">
        <v>10348</v>
      </c>
      <c r="B197" s="4" t="s">
        <v>648</v>
      </c>
      <c r="C197" s="4" t="s">
        <v>178</v>
      </c>
      <c r="D197" s="4" t="s">
        <v>124</v>
      </c>
      <c r="E197" s="4" t="s">
        <v>188</v>
      </c>
      <c r="F197" s="4" t="n">
        <v>4</v>
      </c>
      <c r="G197" s="4" t="s">
        <v>649</v>
      </c>
      <c r="H197" s="4" t="s">
        <v>54</v>
      </c>
      <c r="I197" s="4" t="s">
        <v>650</v>
      </c>
      <c r="J197" s="6" t="n">
        <f aca="false">IFERROR(DATEVALUE(B197),"")</f>
        <v>45637</v>
      </c>
      <c r="K197" s="4" t="str">
        <f aca="false">IF(A197="","",PROPER(TRIM(C197)))</f>
        <v>South</v>
      </c>
      <c r="L197" s="4" t="str">
        <f aca="false">IF(A197="","",PROPER(TRIM(D197)))</f>
        <v>Climbing Gear</v>
      </c>
      <c r="M197" s="4" t="n">
        <f aca="false">IFERROR(VALUE(F197),0)</f>
        <v>4</v>
      </c>
      <c r="N197" s="7" t="n">
        <f aca="false">IFERROR(VALUE(SUBSTITUTE(G197,"$","")),0)</f>
        <v>22.4</v>
      </c>
      <c r="O197" s="4" t="n">
        <f aca="false">IF(A197="",0,IF(COUNTIF($A$2:A197,A197)&gt;1,1,0))</f>
        <v>0</v>
      </c>
      <c r="P197" s="4" t="n">
        <f aca="false">IF(AND(A197&lt;&gt;"",J197&lt;&gt;"",M197&gt;0,N197&gt;0,O197=0),1,0)</f>
        <v>1</v>
      </c>
      <c r="Q197" s="7" t="n">
        <f aca="false">IF(P197=1,M197*N197,0)</f>
        <v>89.6</v>
      </c>
    </row>
    <row r="198" customFormat="false" ht="15" hidden="false" customHeight="false" outlineLevel="0" collapsed="false">
      <c r="A198" s="4" t="n">
        <v>10711</v>
      </c>
      <c r="B198" s="4" t="s">
        <v>651</v>
      </c>
      <c r="C198" s="4" t="s">
        <v>93</v>
      </c>
      <c r="D198" s="4" t="s">
        <v>217</v>
      </c>
      <c r="E198" s="4" t="s">
        <v>243</v>
      </c>
      <c r="F198" s="4" t="n">
        <v>1</v>
      </c>
      <c r="G198" s="4" t="s">
        <v>652</v>
      </c>
      <c r="H198" s="4" t="s">
        <v>73</v>
      </c>
      <c r="I198" s="4" t="s">
        <v>653</v>
      </c>
      <c r="J198" s="6" t="n">
        <f aca="false">IFERROR(DATEVALUE(B198),"")</f>
        <v>45536</v>
      </c>
      <c r="K198" s="4" t="str">
        <f aca="false">IF(A198="","",PROPER(TRIM(C198)))</f>
        <v>West</v>
      </c>
      <c r="L198" s="4" t="str">
        <f aca="false">IF(A198="","",PROPER(TRIM(D198)))</f>
        <v>Apparel</v>
      </c>
      <c r="M198" s="4" t="n">
        <f aca="false">IFERROR(VALUE(F198),0)</f>
        <v>1</v>
      </c>
      <c r="N198" s="7" t="n">
        <f aca="false">IFERROR(VALUE(SUBSTITUTE(G198,"$","")),0)</f>
        <v>77.6</v>
      </c>
      <c r="O198" s="4" t="n">
        <f aca="false">IF(A198="",0,IF(COUNTIF($A$2:A198,A198)&gt;1,1,0))</f>
        <v>0</v>
      </c>
      <c r="P198" s="4" t="n">
        <f aca="false">IF(AND(A198&lt;&gt;"",J198&lt;&gt;"",M198&gt;0,N198&gt;0,O198=0),1,0)</f>
        <v>1</v>
      </c>
      <c r="Q198" s="7" t="n">
        <f aca="false">IF(P198=1,M198*N198,0)</f>
        <v>77.6</v>
      </c>
    </row>
    <row r="199" customFormat="false" ht="15" hidden="false" customHeight="false" outlineLevel="0" collapsed="false">
      <c r="A199" s="4" t="n">
        <v>10102</v>
      </c>
      <c r="B199" s="4" t="s">
        <v>654</v>
      </c>
      <c r="C199" s="4" t="s">
        <v>149</v>
      </c>
      <c r="D199" s="4" t="s">
        <v>64</v>
      </c>
      <c r="E199" s="4" t="s">
        <v>111</v>
      </c>
      <c r="F199" s="4" t="n">
        <v>2</v>
      </c>
      <c r="G199" s="4" t="s">
        <v>655</v>
      </c>
      <c r="H199" s="4" t="s">
        <v>73</v>
      </c>
      <c r="I199" s="4" t="s">
        <v>656</v>
      </c>
      <c r="J199" s="6" t="n">
        <f aca="false">IFERROR(DATEVALUE(B199),"")</f>
        <v>45523</v>
      </c>
      <c r="K199" s="4" t="str">
        <f aca="false">IF(A199="","",PROPER(TRIM(C199)))</f>
        <v>East</v>
      </c>
      <c r="L199" s="4" t="str">
        <f aca="false">IF(A199="","",PROPER(TRIM(D199)))</f>
        <v>Footwear</v>
      </c>
      <c r="M199" s="4" t="n">
        <f aca="false">IFERROR(VALUE(F199),0)</f>
        <v>2</v>
      </c>
      <c r="N199" s="7" t="n">
        <f aca="false">IFERROR(VALUE(SUBSTITUTE(G199,"$","")),0)</f>
        <v>91.55</v>
      </c>
      <c r="O199" s="4" t="n">
        <f aca="false">IF(A199="",0,IF(COUNTIF($A$2:A199,A199)&gt;1,1,0))</f>
        <v>0</v>
      </c>
      <c r="P199" s="4" t="n">
        <f aca="false">IF(AND(A199&lt;&gt;"",J199&lt;&gt;"",M199&gt;0,N199&gt;0,O199=0),1,0)</f>
        <v>1</v>
      </c>
      <c r="Q199" s="7" t="n">
        <f aca="false">IF(P199=1,M199*N199,0)</f>
        <v>183.1</v>
      </c>
    </row>
    <row r="200" customFormat="false" ht="15" hidden="false" customHeight="false" outlineLevel="0" collapsed="false">
      <c r="A200" s="4" t="n">
        <v>10691</v>
      </c>
      <c r="B200" s="4" t="s">
        <v>216</v>
      </c>
      <c r="C200" s="4" t="s">
        <v>110</v>
      </c>
      <c r="D200" s="4" t="s">
        <v>179</v>
      </c>
      <c r="E200" s="4" t="s">
        <v>59</v>
      </c>
      <c r="F200" s="4" t="n">
        <v>1</v>
      </c>
      <c r="G200" s="4" t="s">
        <v>657</v>
      </c>
      <c r="H200" s="4" t="s">
        <v>47</v>
      </c>
      <c r="I200" s="4" t="s">
        <v>658</v>
      </c>
      <c r="J200" s="6" t="str">
        <f aca="false">IFERROR(DATEVALUE(B200),"")</f>
        <v/>
      </c>
      <c r="K200" s="4" t="str">
        <f aca="false">IF(A200="","",PROPER(TRIM(C200)))</f>
        <v>Midwest</v>
      </c>
      <c r="L200" s="4" t="str">
        <f aca="false">IF(A200="","",PROPER(TRIM(D200)))</f>
        <v>Climbing Gear</v>
      </c>
      <c r="M200" s="4" t="n">
        <f aca="false">IFERROR(VALUE(F200),0)</f>
        <v>1</v>
      </c>
      <c r="N200" s="7" t="n">
        <f aca="false">IFERROR(VALUE(SUBSTITUTE(G200,"$","")),0)</f>
        <v>41.64</v>
      </c>
      <c r="O200" s="4" t="n">
        <f aca="false">IF(A200="",0,IF(COUNTIF($A$2:A200,A200)&gt;1,1,0))</f>
        <v>0</v>
      </c>
      <c r="P200" s="4" t="n">
        <f aca="false">IF(AND(A200&lt;&gt;"",J200&lt;&gt;"",M200&gt;0,N200&gt;0,O200=0),1,0)</f>
        <v>0</v>
      </c>
      <c r="Q200" s="7" t="n">
        <f aca="false">IF(P200=1,M200*N200,0)</f>
        <v>0</v>
      </c>
    </row>
    <row r="201" customFormat="false" ht="15" hidden="false" customHeight="false" outlineLevel="0" collapsed="false">
      <c r="A201" s="4" t="n">
        <v>10637</v>
      </c>
      <c r="B201" s="4" t="s">
        <v>659</v>
      </c>
      <c r="C201" s="4" t="s">
        <v>50</v>
      </c>
      <c r="D201" s="4" t="s">
        <v>179</v>
      </c>
      <c r="E201" s="4" t="s">
        <v>125</v>
      </c>
      <c r="F201" s="4" t="n">
        <v>3</v>
      </c>
      <c r="G201" s="4" t="s">
        <v>660</v>
      </c>
      <c r="H201" s="4" t="s">
        <v>54</v>
      </c>
      <c r="I201" s="4" t="s">
        <v>661</v>
      </c>
      <c r="J201" s="6" t="n">
        <f aca="false">IFERROR(DATEVALUE(B201),"")</f>
        <v>45351</v>
      </c>
      <c r="K201" s="4" t="str">
        <f aca="false">IF(A201="","",PROPER(TRIM(C201)))</f>
        <v>Midwest</v>
      </c>
      <c r="L201" s="4" t="str">
        <f aca="false">IF(A201="","",PROPER(TRIM(D201)))</f>
        <v>Climbing Gear</v>
      </c>
      <c r="M201" s="4" t="n">
        <f aca="false">IFERROR(VALUE(F201),0)</f>
        <v>3</v>
      </c>
      <c r="N201" s="7" t="n">
        <f aca="false">IFERROR(VALUE(SUBSTITUTE(G201,"$","")),0)</f>
        <v>97.93</v>
      </c>
      <c r="O201" s="4" t="n">
        <f aca="false">IF(A201="",0,IF(COUNTIF($A$2:A201,A201)&gt;1,1,0))</f>
        <v>0</v>
      </c>
      <c r="P201" s="4" t="n">
        <f aca="false">IF(AND(A201&lt;&gt;"",J201&lt;&gt;"",M201&gt;0,N201&gt;0,O201=0),1,0)</f>
        <v>1</v>
      </c>
      <c r="Q201" s="7" t="n">
        <f aca="false">IF(P201=1,M201*N201,0)</f>
        <v>293.79</v>
      </c>
    </row>
    <row r="202" customFormat="false" ht="15" hidden="false" customHeight="false" outlineLevel="0" collapsed="false">
      <c r="A202" s="4" t="n">
        <v>10077</v>
      </c>
      <c r="B202" s="4" t="s">
        <v>662</v>
      </c>
      <c r="C202" s="4" t="s">
        <v>149</v>
      </c>
      <c r="D202" s="4" t="s">
        <v>179</v>
      </c>
      <c r="E202" s="4" t="s">
        <v>59</v>
      </c>
      <c r="F202" s="4" t="n">
        <v>1</v>
      </c>
      <c r="G202" s="4" t="s">
        <v>663</v>
      </c>
      <c r="H202" s="4" t="s">
        <v>73</v>
      </c>
      <c r="I202" s="4" t="s">
        <v>301</v>
      </c>
      <c r="J202" s="6" t="n">
        <f aca="false">IFERROR(DATEVALUE(B202),"")</f>
        <v>45669</v>
      </c>
      <c r="K202" s="4" t="str">
        <f aca="false">IF(A202="","",PROPER(TRIM(C202)))</f>
        <v>East</v>
      </c>
      <c r="L202" s="4" t="str">
        <f aca="false">IF(A202="","",PROPER(TRIM(D202)))</f>
        <v>Climbing Gear</v>
      </c>
      <c r="M202" s="4" t="n">
        <f aca="false">IFERROR(VALUE(F202),0)</f>
        <v>1</v>
      </c>
      <c r="N202" s="7" t="n">
        <f aca="false">IFERROR(VALUE(SUBSTITUTE(G202,"$","")),0)</f>
        <v>38.64</v>
      </c>
      <c r="O202" s="4" t="n">
        <f aca="false">IF(A202="",0,IF(COUNTIF($A$2:A202,A202)&gt;1,1,0))</f>
        <v>0</v>
      </c>
      <c r="P202" s="4" t="n">
        <f aca="false">IF(AND(A202&lt;&gt;"",J202&lt;&gt;"",M202&gt;0,N202&gt;0,O202=0),1,0)</f>
        <v>1</v>
      </c>
      <c r="Q202" s="7" t="n">
        <f aca="false">IF(P202=1,M202*N202,0)</f>
        <v>38.64</v>
      </c>
    </row>
    <row r="203" customFormat="false" ht="15" hidden="false" customHeight="false" outlineLevel="0" collapsed="false">
      <c r="A203" s="4" t="n">
        <v>10262</v>
      </c>
      <c r="B203" s="4" t="s">
        <v>280</v>
      </c>
      <c r="C203" s="4" t="s">
        <v>155</v>
      </c>
      <c r="D203" s="4" t="s">
        <v>250</v>
      </c>
      <c r="E203" s="4" t="s">
        <v>71</v>
      </c>
      <c r="F203" s="4" t="n">
        <v>4</v>
      </c>
      <c r="G203" s="4" t="s">
        <v>664</v>
      </c>
      <c r="H203" s="4" t="s">
        <v>54</v>
      </c>
      <c r="I203" s="4" t="s">
        <v>665</v>
      </c>
      <c r="J203" s="6" t="str">
        <f aca="false">IFERROR(DATEVALUE(B203),"")</f>
        <v/>
      </c>
      <c r="K203" s="4" t="str">
        <f aca="false">IF(A203="","",PROPER(TRIM(C203)))</f>
        <v>South</v>
      </c>
      <c r="L203" s="4" t="str">
        <f aca="false">IF(A203="","",PROPER(TRIM(D203)))</f>
        <v>Camping Gear</v>
      </c>
      <c r="M203" s="4" t="n">
        <f aca="false">IFERROR(VALUE(F203),0)</f>
        <v>4</v>
      </c>
      <c r="N203" s="7" t="n">
        <f aca="false">IFERROR(VALUE(SUBSTITUTE(G203,"$","")),0)</f>
        <v>72.55</v>
      </c>
      <c r="O203" s="4" t="n">
        <f aca="false">IF(A203="",0,IF(COUNTIF($A$2:A203,A203)&gt;1,1,0))</f>
        <v>0</v>
      </c>
      <c r="P203" s="4" t="n">
        <f aca="false">IF(AND(A203&lt;&gt;"",J203&lt;&gt;"",M203&gt;0,N203&gt;0,O203=0),1,0)</f>
        <v>0</v>
      </c>
      <c r="Q203" s="7" t="n">
        <f aca="false">IF(P203=1,M203*N203,0)</f>
        <v>0</v>
      </c>
    </row>
    <row r="204" customFormat="false" ht="15" hidden="false" customHeight="false" outlineLevel="0" collapsed="false">
      <c r="A204" s="4" t="n">
        <v>10552</v>
      </c>
      <c r="B204" s="4" t="s">
        <v>666</v>
      </c>
      <c r="C204" s="4" t="s">
        <v>183</v>
      </c>
      <c r="D204" s="4" t="s">
        <v>88</v>
      </c>
      <c r="E204" s="4" t="s">
        <v>243</v>
      </c>
      <c r="F204" s="4" t="n">
        <v>2</v>
      </c>
      <c r="G204" s="4" t="s">
        <v>667</v>
      </c>
      <c r="H204" s="4" t="s">
        <v>73</v>
      </c>
      <c r="I204" s="4" t="s">
        <v>668</v>
      </c>
      <c r="J204" s="6" t="n">
        <f aca="false">IFERROR(DATEVALUE(B204),"")</f>
        <v>45680</v>
      </c>
      <c r="K204" s="4" t="str">
        <f aca="false">IF(A204="","",PROPER(TRIM(C204)))</f>
        <v>West</v>
      </c>
      <c r="L204" s="4" t="str">
        <f aca="false">IF(A204="","",PROPER(TRIM(D204)))</f>
        <v>Apparel</v>
      </c>
      <c r="M204" s="4" t="n">
        <f aca="false">IFERROR(VALUE(F204),0)</f>
        <v>2</v>
      </c>
      <c r="N204" s="7" t="n">
        <f aca="false">IFERROR(VALUE(SUBSTITUTE(G204,"$","")),0)</f>
        <v>76.56</v>
      </c>
      <c r="O204" s="4" t="n">
        <f aca="false">IF(A204="",0,IF(COUNTIF($A$2:A204,A204)&gt;1,1,0))</f>
        <v>0</v>
      </c>
      <c r="P204" s="4" t="n">
        <f aca="false">IF(AND(A204&lt;&gt;"",J204&lt;&gt;"",M204&gt;0,N204&gt;0,O204=0),1,0)</f>
        <v>1</v>
      </c>
      <c r="Q204" s="7" t="n">
        <f aca="false">IF(P204=1,M204*N204,0)</f>
        <v>153.12</v>
      </c>
    </row>
    <row r="205" customFormat="false" ht="15" hidden="false" customHeight="false" outlineLevel="0" collapsed="false">
      <c r="A205" s="4" t="n">
        <v>10304</v>
      </c>
      <c r="B205" s="4" t="s">
        <v>669</v>
      </c>
      <c r="C205" s="4" t="s">
        <v>321</v>
      </c>
      <c r="D205" s="4" t="s">
        <v>70</v>
      </c>
      <c r="E205" s="4" t="s">
        <v>251</v>
      </c>
      <c r="F205" s="4" t="n">
        <v>4</v>
      </c>
      <c r="G205" s="4" t="s">
        <v>670</v>
      </c>
      <c r="H205" s="4" t="s">
        <v>47</v>
      </c>
      <c r="I205" s="4" t="s">
        <v>671</v>
      </c>
      <c r="J205" s="6" t="n">
        <f aca="false">IFERROR(DATEVALUE(B205),"")</f>
        <v>45738</v>
      </c>
      <c r="K205" s="4" t="str">
        <f aca="false">IF(A205="","",PROPER(TRIM(C205)))</f>
        <v>West</v>
      </c>
      <c r="L205" s="4" t="str">
        <f aca="false">IF(A205="","",PROPER(TRIM(D205)))</f>
        <v>Camping Gear</v>
      </c>
      <c r="M205" s="4" t="n">
        <f aca="false">IFERROR(VALUE(F205),0)</f>
        <v>4</v>
      </c>
      <c r="N205" s="7" t="n">
        <f aca="false">IFERROR(VALUE(SUBSTITUTE(G205,"$","")),0)</f>
        <v>73.89</v>
      </c>
      <c r="O205" s="4" t="n">
        <f aca="false">IF(A205="",0,IF(COUNTIF($A$2:A205,A205)&gt;1,1,0))</f>
        <v>0</v>
      </c>
      <c r="P205" s="4" t="n">
        <f aca="false">IF(AND(A205&lt;&gt;"",J205&lt;&gt;"",M205&gt;0,N205&gt;0,O205=0),1,0)</f>
        <v>1</v>
      </c>
      <c r="Q205" s="7" t="n">
        <f aca="false">IF(P205=1,M205*N205,0)</f>
        <v>295.56</v>
      </c>
    </row>
    <row r="206" customFormat="false" ht="15" hidden="false" customHeight="false" outlineLevel="0" collapsed="false">
      <c r="A206" s="4" t="n">
        <v>10237</v>
      </c>
      <c r="B206" s="4" t="s">
        <v>672</v>
      </c>
      <c r="C206" s="4" t="s">
        <v>224</v>
      </c>
      <c r="D206" s="4" t="s">
        <v>76</v>
      </c>
      <c r="E206" s="4" t="s">
        <v>77</v>
      </c>
      <c r="F206" s="4" t="n">
        <v>2</v>
      </c>
      <c r="G206" s="4" t="s">
        <v>673</v>
      </c>
      <c r="H206" s="4" t="s">
        <v>47</v>
      </c>
      <c r="I206" s="4" t="s">
        <v>227</v>
      </c>
      <c r="J206" s="6" t="n">
        <f aca="false">IFERROR(DATEVALUE(B206),"")</f>
        <v>45644</v>
      </c>
      <c r="K206" s="4" t="str">
        <f aca="false">IF(A206="","",PROPER(TRIM(C206)))</f>
        <v>East</v>
      </c>
      <c r="L206" s="4" t="str">
        <f aca="false">IF(A206="","",PROPER(TRIM(D206)))</f>
        <v>Footwear</v>
      </c>
      <c r="M206" s="4" t="n">
        <f aca="false">IFERROR(VALUE(F206),0)</f>
        <v>2</v>
      </c>
      <c r="N206" s="7" t="n">
        <f aca="false">IFERROR(VALUE(SUBSTITUTE(G206,"$","")),0)</f>
        <v>148.43</v>
      </c>
      <c r="O206" s="4" t="n">
        <f aca="false">IF(A206="",0,IF(COUNTIF($A$2:A206,A206)&gt;1,1,0))</f>
        <v>0</v>
      </c>
      <c r="P206" s="4" t="n">
        <f aca="false">IF(AND(A206&lt;&gt;"",J206&lt;&gt;"",M206&gt;0,N206&gt;0,O206=0),1,0)</f>
        <v>1</v>
      </c>
      <c r="Q206" s="7" t="n">
        <f aca="false">IF(P206=1,M206*N206,0)</f>
        <v>296.86</v>
      </c>
    </row>
    <row r="207" customFormat="false" ht="15" hidden="false" customHeight="false" outlineLevel="0" collapsed="false">
      <c r="A207" s="4" t="n">
        <v>10529</v>
      </c>
      <c r="B207" s="4" t="s">
        <v>674</v>
      </c>
      <c r="C207" s="4" t="s">
        <v>50</v>
      </c>
      <c r="D207" s="4" t="s">
        <v>70</v>
      </c>
      <c r="E207" s="4" t="s">
        <v>71</v>
      </c>
      <c r="F207" s="4" t="n">
        <v>1</v>
      </c>
      <c r="G207" s="4" t="s">
        <v>675</v>
      </c>
      <c r="H207" s="4" t="s">
        <v>54</v>
      </c>
      <c r="I207" s="4" t="s">
        <v>458</v>
      </c>
      <c r="J207" s="6" t="n">
        <f aca="false">IFERROR(DATEVALUE(B207),"")</f>
        <v>45619</v>
      </c>
      <c r="K207" s="4" t="str">
        <f aca="false">IF(A207="","",PROPER(TRIM(C207)))</f>
        <v>Midwest</v>
      </c>
      <c r="L207" s="4" t="str">
        <f aca="false">IF(A207="","",PROPER(TRIM(D207)))</f>
        <v>Camping Gear</v>
      </c>
      <c r="M207" s="4" t="n">
        <f aca="false">IFERROR(VALUE(F207),0)</f>
        <v>1</v>
      </c>
      <c r="N207" s="7" t="n">
        <f aca="false">IFERROR(VALUE(SUBSTITUTE(G207,"$","")),0)</f>
        <v>60.93</v>
      </c>
      <c r="O207" s="4" t="n">
        <f aca="false">IF(A207="",0,IF(COUNTIF($A$2:A207,A207)&gt;1,1,0))</f>
        <v>0</v>
      </c>
      <c r="P207" s="4" t="n">
        <f aca="false">IF(AND(A207&lt;&gt;"",J207&lt;&gt;"",M207&gt;0,N207&gt;0,O207=0),1,0)</f>
        <v>1</v>
      </c>
      <c r="Q207" s="7" t="n">
        <f aca="false">IF(P207=1,M207*N207,0)</f>
        <v>60.93</v>
      </c>
    </row>
    <row r="208" customFormat="false" ht="15" hidden="false" customHeight="false" outlineLevel="0" collapsed="false">
      <c r="A208" s="4" t="n">
        <v>10778</v>
      </c>
      <c r="B208" s="4" t="s">
        <v>676</v>
      </c>
      <c r="C208" s="4" t="s">
        <v>155</v>
      </c>
      <c r="D208" s="4" t="s">
        <v>156</v>
      </c>
      <c r="E208" s="4" t="s">
        <v>59</v>
      </c>
      <c r="F208" s="4" t="n">
        <v>1</v>
      </c>
      <c r="G208" s="4" t="s">
        <v>677</v>
      </c>
      <c r="H208" s="4" t="s">
        <v>54</v>
      </c>
      <c r="I208" s="4" t="s">
        <v>678</v>
      </c>
      <c r="J208" s="6" t="n">
        <f aca="false">IFERROR(DATEVALUE(B208),"")</f>
        <v>45444</v>
      </c>
      <c r="K208" s="4" t="str">
        <f aca="false">IF(A208="","",PROPER(TRIM(C208)))</f>
        <v>South</v>
      </c>
      <c r="L208" s="4" t="str">
        <f aca="false">IF(A208="","",PROPER(TRIM(D208)))</f>
        <v>Climbing Gear</v>
      </c>
      <c r="M208" s="4" t="n">
        <f aca="false">IFERROR(VALUE(F208),0)</f>
        <v>1</v>
      </c>
      <c r="N208" s="7" t="n">
        <f aca="false">IFERROR(VALUE(SUBSTITUTE(G208,"$","")),0)</f>
        <v>36.51</v>
      </c>
      <c r="O208" s="4" t="n">
        <f aca="false">IF(A208="",0,IF(COUNTIF($A$2:A208,A208)&gt;1,1,0))</f>
        <v>0</v>
      </c>
      <c r="P208" s="4" t="n">
        <f aca="false">IF(AND(A208&lt;&gt;"",J208&lt;&gt;"",M208&gt;0,N208&gt;0,O208=0),1,0)</f>
        <v>1</v>
      </c>
      <c r="Q208" s="7" t="n">
        <f aca="false">IF(P208=1,M208*N208,0)</f>
        <v>36.51</v>
      </c>
    </row>
    <row r="209" customFormat="false" ht="15" hidden="false" customHeight="false" outlineLevel="0" collapsed="false">
      <c r="A209" s="4" t="n">
        <v>10281</v>
      </c>
      <c r="B209" s="4" t="s">
        <v>679</v>
      </c>
      <c r="C209" s="4" t="s">
        <v>50</v>
      </c>
      <c r="D209" s="4" t="s">
        <v>88</v>
      </c>
      <c r="E209" s="4" t="s">
        <v>142</v>
      </c>
      <c r="F209" s="4" t="n">
        <v>3</v>
      </c>
      <c r="G209" s="4" t="s">
        <v>680</v>
      </c>
      <c r="H209" s="4" t="s">
        <v>73</v>
      </c>
      <c r="I209" s="4" t="s">
        <v>681</v>
      </c>
      <c r="J209" s="6" t="n">
        <f aca="false">IFERROR(DATEVALUE(B209),"")</f>
        <v>45572</v>
      </c>
      <c r="K209" s="4" t="str">
        <f aca="false">IF(A209="","",PROPER(TRIM(C209)))</f>
        <v>Midwest</v>
      </c>
      <c r="L209" s="4" t="str">
        <f aca="false">IF(A209="","",PROPER(TRIM(D209)))</f>
        <v>Apparel</v>
      </c>
      <c r="M209" s="4" t="n">
        <f aca="false">IFERROR(VALUE(F209),0)</f>
        <v>3</v>
      </c>
      <c r="N209" s="7" t="n">
        <f aca="false">IFERROR(VALUE(SUBSTITUTE(G209,"$","")),0)</f>
        <v>166.03</v>
      </c>
      <c r="O209" s="4" t="n">
        <f aca="false">IF(A209="",0,IF(COUNTIF($A$2:A209,A209)&gt;1,1,0))</f>
        <v>0</v>
      </c>
      <c r="P209" s="4" t="n">
        <f aca="false">IF(AND(A209&lt;&gt;"",J209&lt;&gt;"",M209&gt;0,N209&gt;0,O209=0),1,0)</f>
        <v>1</v>
      </c>
      <c r="Q209" s="7" t="n">
        <f aca="false">IF(P209=1,M209*N209,0)</f>
        <v>498.09</v>
      </c>
    </row>
    <row r="210" customFormat="false" ht="15" hidden="false" customHeight="false" outlineLevel="0" collapsed="false">
      <c r="A210" s="4" t="n">
        <v>10100</v>
      </c>
      <c r="B210" s="4" t="s">
        <v>590</v>
      </c>
      <c r="C210" s="4" t="s">
        <v>149</v>
      </c>
      <c r="D210" s="4" t="s">
        <v>171</v>
      </c>
      <c r="E210" s="4" t="s">
        <v>71</v>
      </c>
      <c r="F210" s="4" t="n">
        <v>1</v>
      </c>
      <c r="G210" s="4" t="s">
        <v>682</v>
      </c>
      <c r="H210" s="4" t="s">
        <v>54</v>
      </c>
      <c r="I210" s="4" t="s">
        <v>647</v>
      </c>
      <c r="J210" s="6" t="n">
        <f aca="false">IFERROR(DATEVALUE(B210),"")</f>
        <v>45759</v>
      </c>
      <c r="K210" s="4" t="str">
        <f aca="false">IF(A210="","",PROPER(TRIM(C210)))</f>
        <v>East</v>
      </c>
      <c r="L210" s="4" t="str">
        <f aca="false">IF(A210="","",PROPER(TRIM(D210)))</f>
        <v>Camping Gear</v>
      </c>
      <c r="M210" s="4" t="n">
        <f aca="false">IFERROR(VALUE(F210),0)</f>
        <v>1</v>
      </c>
      <c r="N210" s="7" t="n">
        <f aca="false">IFERROR(VALUE(SUBSTITUTE(G210,"$","")),0)</f>
        <v>65.16</v>
      </c>
      <c r="O210" s="4" t="n">
        <f aca="false">IF(A210="",0,IF(COUNTIF($A$2:A210,A210)&gt;1,1,0))</f>
        <v>0</v>
      </c>
      <c r="P210" s="4" t="n">
        <f aca="false">IF(AND(A210&lt;&gt;"",J210&lt;&gt;"",M210&gt;0,N210&gt;0,O210=0),1,0)</f>
        <v>1</v>
      </c>
      <c r="Q210" s="7" t="n">
        <f aca="false">IF(P210=1,M210*N210,0)</f>
        <v>65.16</v>
      </c>
    </row>
    <row r="211" customFormat="false" ht="15" hidden="false" customHeight="false" outlineLevel="0" collapsed="false">
      <c r="A211" s="4" t="n">
        <v>10275</v>
      </c>
      <c r="B211" s="4" t="s">
        <v>683</v>
      </c>
      <c r="C211" s="4" t="s">
        <v>149</v>
      </c>
      <c r="D211" s="4" t="s">
        <v>76</v>
      </c>
      <c r="E211" s="4" t="s">
        <v>77</v>
      </c>
      <c r="F211" s="4" t="n">
        <v>2</v>
      </c>
      <c r="G211" s="4" t="s">
        <v>684</v>
      </c>
      <c r="H211" s="4" t="s">
        <v>73</v>
      </c>
      <c r="I211" s="4" t="s">
        <v>685</v>
      </c>
      <c r="J211" s="6" t="n">
        <f aca="false">IFERROR(DATEVALUE(B211),"")</f>
        <v>45421</v>
      </c>
      <c r="K211" s="4" t="str">
        <f aca="false">IF(A211="","",PROPER(TRIM(C211)))</f>
        <v>East</v>
      </c>
      <c r="L211" s="4" t="str">
        <f aca="false">IF(A211="","",PROPER(TRIM(D211)))</f>
        <v>Footwear</v>
      </c>
      <c r="M211" s="4" t="n">
        <f aca="false">IFERROR(VALUE(F211),0)</f>
        <v>2</v>
      </c>
      <c r="N211" s="7" t="n">
        <f aca="false">IFERROR(VALUE(SUBSTITUTE(G211,"$","")),0)</f>
        <v>136.2</v>
      </c>
      <c r="O211" s="4" t="n">
        <f aca="false">IF(A211="",0,IF(COUNTIF($A$2:A211,A211)&gt;1,1,0))</f>
        <v>0</v>
      </c>
      <c r="P211" s="4" t="n">
        <f aca="false">IF(AND(A211&lt;&gt;"",J211&lt;&gt;"",M211&gt;0,N211&gt;0,O211=0),1,0)</f>
        <v>1</v>
      </c>
      <c r="Q211" s="7" t="n">
        <f aca="false">IF(P211=1,M211*N211,0)</f>
        <v>272.4</v>
      </c>
    </row>
    <row r="212" customFormat="false" ht="15" hidden="false" customHeight="false" outlineLevel="0" collapsed="false">
      <c r="A212" s="4" t="n">
        <v>10648</v>
      </c>
      <c r="B212" s="4" t="s">
        <v>686</v>
      </c>
      <c r="C212" s="4" t="s">
        <v>149</v>
      </c>
      <c r="D212" s="4" t="s">
        <v>179</v>
      </c>
      <c r="E212" s="4" t="s">
        <v>125</v>
      </c>
      <c r="F212" s="4" t="n">
        <v>2</v>
      </c>
      <c r="G212" s="4" t="s">
        <v>687</v>
      </c>
      <c r="H212" s="4" t="s">
        <v>73</v>
      </c>
      <c r="I212" s="4" t="s">
        <v>688</v>
      </c>
      <c r="J212" s="6" t="n">
        <f aca="false">IFERROR(DATEVALUE(B212),"")</f>
        <v>45781</v>
      </c>
      <c r="K212" s="4" t="str">
        <f aca="false">IF(A212="","",PROPER(TRIM(C212)))</f>
        <v>East</v>
      </c>
      <c r="L212" s="4" t="str">
        <f aca="false">IF(A212="","",PROPER(TRIM(D212)))</f>
        <v>Climbing Gear</v>
      </c>
      <c r="M212" s="4" t="n">
        <f aca="false">IFERROR(VALUE(F212),0)</f>
        <v>2</v>
      </c>
      <c r="N212" s="7" t="n">
        <f aca="false">IFERROR(VALUE(SUBSTITUTE(G212,"$","")),0)</f>
        <v>89.18</v>
      </c>
      <c r="O212" s="4" t="n">
        <f aca="false">IF(A212="",0,IF(COUNTIF($A$2:A212,A212)&gt;1,1,0))</f>
        <v>0</v>
      </c>
      <c r="P212" s="4" t="n">
        <f aca="false">IF(AND(A212&lt;&gt;"",J212&lt;&gt;"",M212&gt;0,N212&gt;0,O212=0),1,0)</f>
        <v>1</v>
      </c>
      <c r="Q212" s="7" t="n">
        <f aca="false">IF(P212=1,M212*N212,0)</f>
        <v>178.36</v>
      </c>
    </row>
    <row r="213" customFormat="false" ht="15" hidden="false" customHeight="false" outlineLevel="0" collapsed="false">
      <c r="A213" s="4" t="n">
        <v>10420</v>
      </c>
      <c r="B213" s="4" t="s">
        <v>689</v>
      </c>
      <c r="C213" s="4" t="s">
        <v>133</v>
      </c>
      <c r="D213" s="4" t="s">
        <v>64</v>
      </c>
      <c r="E213" s="4" t="s">
        <v>111</v>
      </c>
      <c r="F213" s="4" t="n">
        <v>4</v>
      </c>
      <c r="G213" s="4" t="s">
        <v>690</v>
      </c>
      <c r="H213" s="4" t="s">
        <v>73</v>
      </c>
      <c r="I213" s="4" t="s">
        <v>349</v>
      </c>
      <c r="J213" s="6" t="n">
        <f aca="false">IFERROR(DATEVALUE(B213),"")</f>
        <v>45369</v>
      </c>
      <c r="K213" s="4" t="str">
        <f aca="false">IF(A213="","",PROPER(TRIM(C213)))</f>
        <v>East</v>
      </c>
      <c r="L213" s="4" t="str">
        <f aca="false">IF(A213="","",PROPER(TRIM(D213)))</f>
        <v>Footwear</v>
      </c>
      <c r="M213" s="4" t="n">
        <f aca="false">IFERROR(VALUE(F213),0)</f>
        <v>4</v>
      </c>
      <c r="N213" s="7" t="n">
        <f aca="false">IFERROR(VALUE(SUBSTITUTE(G213,"$","")),0)</f>
        <v>96.36</v>
      </c>
      <c r="O213" s="4" t="n">
        <f aca="false">IF(A213="",0,IF(COUNTIF($A$2:A213,A213)&gt;1,1,0))</f>
        <v>0</v>
      </c>
      <c r="P213" s="4" t="n">
        <f aca="false">IF(AND(A213&lt;&gt;"",J213&lt;&gt;"",M213&gt;0,N213&gt;0,O213=0),1,0)</f>
        <v>1</v>
      </c>
      <c r="Q213" s="7" t="n">
        <f aca="false">IF(P213=1,M213*N213,0)</f>
        <v>385.44</v>
      </c>
    </row>
    <row r="214" customFormat="false" ht="15" hidden="false" customHeight="false" outlineLevel="0" collapsed="false">
      <c r="A214" s="4" t="n">
        <v>10007</v>
      </c>
      <c r="B214" s="4" t="s">
        <v>691</v>
      </c>
      <c r="C214" s="4" t="s">
        <v>178</v>
      </c>
      <c r="D214" s="4" t="s">
        <v>602</v>
      </c>
      <c r="E214" s="4" t="s">
        <v>59</v>
      </c>
      <c r="F214" s="4" t="n">
        <v>1</v>
      </c>
      <c r="G214" s="4" t="s">
        <v>692</v>
      </c>
      <c r="H214" s="4" t="s">
        <v>47</v>
      </c>
      <c r="I214" s="4" t="s">
        <v>665</v>
      </c>
      <c r="J214" s="6" t="n">
        <f aca="false">IFERROR(DATEVALUE(B214),"")</f>
        <v>45411</v>
      </c>
      <c r="K214" s="4" t="str">
        <f aca="false">IF(A214="","",PROPER(TRIM(C214)))</f>
        <v>South</v>
      </c>
      <c r="L214" s="4" t="str">
        <f aca="false">IF(A214="","",PROPER(TRIM(D214)))</f>
        <v>Climbing Gear</v>
      </c>
      <c r="M214" s="4" t="n">
        <f aca="false">IFERROR(VALUE(F214),0)</f>
        <v>1</v>
      </c>
      <c r="N214" s="7" t="n">
        <f aca="false">IFERROR(VALUE(SUBSTITUTE(G214,"$","")),0)</f>
        <v>37.67</v>
      </c>
      <c r="O214" s="4" t="n">
        <f aca="false">IF(A214="",0,IF(COUNTIF($A$2:A214,A214)&gt;1,1,0))</f>
        <v>0</v>
      </c>
      <c r="P214" s="4" t="n">
        <f aca="false">IF(AND(A214&lt;&gt;"",J214&lt;&gt;"",M214&gt;0,N214&gt;0,O214=0),1,0)</f>
        <v>1</v>
      </c>
      <c r="Q214" s="7" t="n">
        <f aca="false">IF(P214=1,M214*N214,0)</f>
        <v>37.67</v>
      </c>
    </row>
    <row r="215" customFormat="false" ht="15" hidden="false" customHeight="false" outlineLevel="0" collapsed="false">
      <c r="A215" s="4" t="n">
        <v>10407</v>
      </c>
      <c r="B215" s="4" t="s">
        <v>246</v>
      </c>
      <c r="C215" s="4" t="s">
        <v>149</v>
      </c>
      <c r="D215" s="4" t="s">
        <v>124</v>
      </c>
      <c r="E215" s="4" t="s">
        <v>94</v>
      </c>
      <c r="F215" s="4" t="n">
        <v>1</v>
      </c>
      <c r="G215" s="4" t="s">
        <v>693</v>
      </c>
      <c r="H215" s="4" t="s">
        <v>73</v>
      </c>
      <c r="I215" s="4" t="s">
        <v>401</v>
      </c>
      <c r="J215" s="6" t="n">
        <f aca="false">IFERROR(DATEVALUE(B215),"")</f>
        <v>45773</v>
      </c>
      <c r="K215" s="4" t="str">
        <f aca="false">IF(A215="","",PROPER(TRIM(C215)))</f>
        <v>East</v>
      </c>
      <c r="L215" s="4" t="str">
        <f aca="false">IF(A215="","",PROPER(TRIM(D215)))</f>
        <v>Climbing Gear</v>
      </c>
      <c r="M215" s="4" t="n">
        <f aca="false">IFERROR(VALUE(F215),0)</f>
        <v>1</v>
      </c>
      <c r="N215" s="7" t="n">
        <f aca="false">IFERROR(VALUE(SUBSTITUTE(G215,"$","")),0)</f>
        <v>177.71</v>
      </c>
      <c r="O215" s="4" t="n">
        <f aca="false">IF(A215="",0,IF(COUNTIF($A$2:A215,A215)&gt;1,1,0))</f>
        <v>0</v>
      </c>
      <c r="P215" s="4" t="n">
        <f aca="false">IF(AND(A215&lt;&gt;"",J215&lt;&gt;"",M215&gt;0,N215&gt;0,O215=0),1,0)</f>
        <v>1</v>
      </c>
      <c r="Q215" s="7" t="n">
        <f aca="false">IF(P215=1,M215*N215,0)</f>
        <v>177.71</v>
      </c>
    </row>
    <row r="216" customFormat="false" ht="15" hidden="false" customHeight="false" outlineLevel="0" collapsed="false">
      <c r="A216" s="4" t="n">
        <v>10640</v>
      </c>
      <c r="B216" s="4" t="s">
        <v>694</v>
      </c>
      <c r="C216" s="4" t="s">
        <v>178</v>
      </c>
      <c r="D216" s="4" t="s">
        <v>70</v>
      </c>
      <c r="E216" s="4" t="s">
        <v>448</v>
      </c>
      <c r="F216" s="4" t="n">
        <v>3</v>
      </c>
      <c r="G216" s="4" t="s">
        <v>695</v>
      </c>
      <c r="H216" s="4" t="s">
        <v>54</v>
      </c>
      <c r="I216" s="4" t="s">
        <v>696</v>
      </c>
      <c r="J216" s="6" t="n">
        <f aca="false">IFERROR(DATEVALUE(B216),"")</f>
        <v>45377</v>
      </c>
      <c r="K216" s="4" t="str">
        <f aca="false">IF(A216="","",PROPER(TRIM(C216)))</f>
        <v>South</v>
      </c>
      <c r="L216" s="4" t="str">
        <f aca="false">IF(A216="","",PROPER(TRIM(D216)))</f>
        <v>Camping Gear</v>
      </c>
      <c r="M216" s="4" t="n">
        <f aca="false">IFERROR(VALUE(F216),0)</f>
        <v>3</v>
      </c>
      <c r="N216" s="7" t="n">
        <f aca="false">IFERROR(VALUE(SUBSTITUTE(G216,"$","")),0)</f>
        <v>206.62</v>
      </c>
      <c r="O216" s="4" t="n">
        <f aca="false">IF(A216="",0,IF(COUNTIF($A$2:A216,A216)&gt;1,1,0))</f>
        <v>0</v>
      </c>
      <c r="P216" s="4" t="n">
        <f aca="false">IF(AND(A216&lt;&gt;"",J216&lt;&gt;"",M216&gt;0,N216&gt;0,O216=0),1,0)</f>
        <v>1</v>
      </c>
      <c r="Q216" s="7" t="n">
        <f aca="false">IF(P216=1,M216*N216,0)</f>
        <v>619.86</v>
      </c>
    </row>
    <row r="217" customFormat="false" ht="15" hidden="false" customHeight="false" outlineLevel="0" collapsed="false">
      <c r="A217" s="4" t="n">
        <v>10549</v>
      </c>
      <c r="B217" s="4" t="s">
        <v>697</v>
      </c>
      <c r="C217" s="4" t="s">
        <v>110</v>
      </c>
      <c r="D217" s="4" t="s">
        <v>64</v>
      </c>
      <c r="E217" s="4" t="s">
        <v>65</v>
      </c>
      <c r="F217" s="4" t="n">
        <v>1</v>
      </c>
      <c r="G217" s="4" t="s">
        <v>698</v>
      </c>
      <c r="H217" s="4" t="s">
        <v>54</v>
      </c>
      <c r="I217" s="4" t="s">
        <v>699</v>
      </c>
      <c r="J217" s="6" t="n">
        <f aca="false">IFERROR(DATEVALUE(B217),"")</f>
        <v>45713</v>
      </c>
      <c r="K217" s="4" t="str">
        <f aca="false">IF(A217="","",PROPER(TRIM(C217)))</f>
        <v>Midwest</v>
      </c>
      <c r="L217" s="4" t="str">
        <f aca="false">IF(A217="","",PROPER(TRIM(D217)))</f>
        <v>Footwear</v>
      </c>
      <c r="M217" s="4" t="n">
        <f aca="false">IFERROR(VALUE(F217),0)</f>
        <v>1</v>
      </c>
      <c r="N217" s="7" t="n">
        <f aca="false">IFERROR(VALUE(SUBSTITUTE(G217,"$","")),0)</f>
        <v>55.86</v>
      </c>
      <c r="O217" s="4" t="n">
        <f aca="false">IF(A217="",0,IF(COUNTIF($A$2:A217,A217)&gt;1,1,0))</f>
        <v>0</v>
      </c>
      <c r="P217" s="4" t="n">
        <f aca="false">IF(AND(A217&lt;&gt;"",J217&lt;&gt;"",M217&gt;0,N217&gt;0,O217=0),1,0)</f>
        <v>1</v>
      </c>
      <c r="Q217" s="7" t="n">
        <f aca="false">IF(P217=1,M217*N217,0)</f>
        <v>55.86</v>
      </c>
    </row>
    <row r="218" customFormat="false" ht="15" hidden="false" customHeight="false" outlineLevel="0" collapsed="false">
      <c r="A218" s="4" t="n">
        <v>10470</v>
      </c>
      <c r="B218" s="4" t="s">
        <v>700</v>
      </c>
      <c r="C218" s="4" t="s">
        <v>315</v>
      </c>
      <c r="D218" s="4" t="s">
        <v>250</v>
      </c>
      <c r="E218" s="4" t="s">
        <v>448</v>
      </c>
      <c r="F218" s="4" t="n">
        <v>1</v>
      </c>
      <c r="G218" s="4" t="s">
        <v>701</v>
      </c>
      <c r="H218" s="4" t="s">
        <v>47</v>
      </c>
      <c r="I218" s="4" t="s">
        <v>702</v>
      </c>
      <c r="J218" s="6" t="n">
        <f aca="false">IFERROR(DATEVALUE(B218),"")</f>
        <v>45766</v>
      </c>
      <c r="K218" s="4" t="str">
        <f aca="false">IF(A218="","",PROPER(TRIM(C218)))</f>
        <v>South</v>
      </c>
      <c r="L218" s="4" t="str">
        <f aca="false">IF(A218="","",PROPER(TRIM(D218)))</f>
        <v>Camping Gear</v>
      </c>
      <c r="M218" s="4" t="n">
        <f aca="false">IFERROR(VALUE(F218),0)</f>
        <v>1</v>
      </c>
      <c r="N218" s="7" t="n">
        <f aca="false">IFERROR(VALUE(SUBSTITUTE(G218,"$","")),0)</f>
        <v>177.79</v>
      </c>
      <c r="O218" s="4" t="n">
        <f aca="false">IF(A218="",0,IF(COUNTIF($A$2:A218,A218)&gt;1,1,0))</f>
        <v>0</v>
      </c>
      <c r="P218" s="4" t="n">
        <f aca="false">IF(AND(A218&lt;&gt;"",J218&lt;&gt;"",M218&gt;0,N218&gt;0,O218=0),1,0)</f>
        <v>1</v>
      </c>
      <c r="Q218" s="7" t="n">
        <f aca="false">IF(P218=1,M218*N218,0)</f>
        <v>177.79</v>
      </c>
    </row>
    <row r="219" customFormat="false" ht="15" hidden="false" customHeight="false" outlineLevel="0" collapsed="false">
      <c r="A219" s="4" t="n">
        <v>10621</v>
      </c>
      <c r="B219" s="4" t="s">
        <v>574</v>
      </c>
      <c r="C219" s="4" t="s">
        <v>69</v>
      </c>
      <c r="D219" s="4" t="s">
        <v>101</v>
      </c>
      <c r="E219" s="4" t="s">
        <v>210</v>
      </c>
      <c r="F219" s="4" t="n">
        <v>5</v>
      </c>
      <c r="G219" s="4" t="s">
        <v>703</v>
      </c>
      <c r="H219" s="4" t="s">
        <v>73</v>
      </c>
      <c r="I219" s="4" t="s">
        <v>704</v>
      </c>
      <c r="J219" s="6" t="n">
        <f aca="false">IFERROR(DATEVALUE(B219),"")</f>
        <v>45551</v>
      </c>
      <c r="K219" s="4" t="str">
        <f aca="false">IF(A219="","",PROPER(TRIM(C219)))</f>
        <v>East</v>
      </c>
      <c r="L219" s="4" t="str">
        <f aca="false">IF(A219="","",PROPER(TRIM(D219)))</f>
        <v>Accessories</v>
      </c>
      <c r="M219" s="4" t="n">
        <f aca="false">IFERROR(VALUE(F219),0)</f>
        <v>5</v>
      </c>
      <c r="N219" s="7" t="n">
        <f aca="false">IFERROR(VALUE(SUBSTITUTE(G219,"$","")),0)</f>
        <v>39.97</v>
      </c>
      <c r="O219" s="4" t="n">
        <f aca="false">IF(A219="",0,IF(COUNTIF($A$2:A219,A219)&gt;1,1,0))</f>
        <v>0</v>
      </c>
      <c r="P219" s="4" t="n">
        <f aca="false">IF(AND(A219&lt;&gt;"",J219&lt;&gt;"",M219&gt;0,N219&gt;0,O219=0),1,0)</f>
        <v>1</v>
      </c>
      <c r="Q219" s="7" t="n">
        <f aca="false">IF(P219=1,M219*N219,0)</f>
        <v>199.85</v>
      </c>
    </row>
    <row r="220" customFormat="false" ht="15" hidden="false" customHeight="false" outlineLevel="0" collapsed="false">
      <c r="A220" s="4" t="n">
        <v>10211</v>
      </c>
      <c r="B220" s="4" t="s">
        <v>705</v>
      </c>
      <c r="C220" s="4" t="s">
        <v>321</v>
      </c>
      <c r="D220" s="4" t="s">
        <v>64</v>
      </c>
      <c r="E220" s="4" t="s">
        <v>111</v>
      </c>
      <c r="F220" s="4" t="n">
        <v>2</v>
      </c>
      <c r="G220" s="4" t="s">
        <v>706</v>
      </c>
      <c r="H220" s="4" t="s">
        <v>47</v>
      </c>
      <c r="I220" s="4" t="s">
        <v>707</v>
      </c>
      <c r="J220" s="6" t="n">
        <f aca="false">IFERROR(DATEVALUE(B220),"")</f>
        <v>45307</v>
      </c>
      <c r="K220" s="4" t="str">
        <f aca="false">IF(A220="","",PROPER(TRIM(C220)))</f>
        <v>West</v>
      </c>
      <c r="L220" s="4" t="str">
        <f aca="false">IF(A220="","",PROPER(TRIM(D220)))</f>
        <v>Footwear</v>
      </c>
      <c r="M220" s="4" t="n">
        <f aca="false">IFERROR(VALUE(F220),0)</f>
        <v>2</v>
      </c>
      <c r="N220" s="7" t="n">
        <f aca="false">IFERROR(VALUE(SUBSTITUTE(G220,"$","")),0)</f>
        <v>85.52</v>
      </c>
      <c r="O220" s="4" t="n">
        <f aca="false">IF(A220="",0,IF(COUNTIF($A$2:A220,A220)&gt;1,1,0))</f>
        <v>0</v>
      </c>
      <c r="P220" s="4" t="n">
        <f aca="false">IF(AND(A220&lt;&gt;"",J220&lt;&gt;"",M220&gt;0,N220&gt;0,O220=0),1,0)</f>
        <v>1</v>
      </c>
      <c r="Q220" s="7" t="n">
        <f aca="false">IF(P220=1,M220*N220,0)</f>
        <v>171.04</v>
      </c>
    </row>
    <row r="221" customFormat="false" ht="15" hidden="false" customHeight="false" outlineLevel="0" collapsed="false">
      <c r="A221" s="4" t="n">
        <v>10406</v>
      </c>
      <c r="B221" s="4" t="s">
        <v>708</v>
      </c>
      <c r="C221" s="4" t="s">
        <v>140</v>
      </c>
      <c r="D221" s="4" t="s">
        <v>58</v>
      </c>
      <c r="E221" s="4" t="s">
        <v>94</v>
      </c>
      <c r="F221" s="4" t="n">
        <v>4</v>
      </c>
      <c r="G221" s="4" t="s">
        <v>709</v>
      </c>
      <c r="H221" s="4" t="s">
        <v>54</v>
      </c>
      <c r="I221" s="4" t="s">
        <v>710</v>
      </c>
      <c r="J221" s="6" t="n">
        <f aca="false">IFERROR(DATEVALUE(B221),"")</f>
        <v>45512</v>
      </c>
      <c r="K221" s="4" t="str">
        <f aca="false">IF(A221="","",PROPER(TRIM(C221)))</f>
        <v>South</v>
      </c>
      <c r="L221" s="4" t="str">
        <f aca="false">IF(A221="","",PROPER(TRIM(D221)))</f>
        <v>Climbing Gear</v>
      </c>
      <c r="M221" s="4" t="n">
        <f aca="false">IFERROR(VALUE(F221),0)</f>
        <v>4</v>
      </c>
      <c r="N221" s="7" t="n">
        <f aca="false">IFERROR(VALUE(SUBSTITUTE(G221,"$","")),0)</f>
        <v>170.43</v>
      </c>
      <c r="O221" s="4" t="n">
        <f aca="false">IF(A221="",0,IF(COUNTIF($A$2:A221,A221)&gt;1,1,0))</f>
        <v>0</v>
      </c>
      <c r="P221" s="4" t="n">
        <f aca="false">IF(AND(A221&lt;&gt;"",J221&lt;&gt;"",M221&gt;0,N221&gt;0,O221=0),1,0)</f>
        <v>1</v>
      </c>
      <c r="Q221" s="7" t="n">
        <f aca="false">IF(P221=1,M221*N221,0)</f>
        <v>681.72</v>
      </c>
    </row>
    <row r="222" customFormat="false" ht="15" hidden="false" customHeight="false" outlineLevel="0" collapsed="false">
      <c r="A222" s="4" t="n">
        <v>10710</v>
      </c>
      <c r="B222" s="4" t="s">
        <v>711</v>
      </c>
      <c r="C222" s="4" t="s">
        <v>50</v>
      </c>
      <c r="D222" s="4" t="s">
        <v>387</v>
      </c>
      <c r="E222" s="4" t="s">
        <v>251</v>
      </c>
      <c r="F222" s="4" t="n">
        <v>4</v>
      </c>
      <c r="G222" s="4" t="s">
        <v>712</v>
      </c>
      <c r="H222" s="4" t="s">
        <v>54</v>
      </c>
      <c r="I222" s="4" t="s">
        <v>713</v>
      </c>
      <c r="J222" s="6" t="n">
        <f aca="false">IFERROR(DATEVALUE(B222),"")</f>
        <v>45544</v>
      </c>
      <c r="K222" s="4" t="str">
        <f aca="false">IF(A222="","",PROPER(TRIM(C222)))</f>
        <v>Midwest</v>
      </c>
      <c r="L222" s="4" t="str">
        <f aca="false">IF(A222="","",PROPER(TRIM(D222)))</f>
        <v>Camping Gear</v>
      </c>
      <c r="M222" s="4" t="n">
        <f aca="false">IFERROR(VALUE(F222),0)</f>
        <v>4</v>
      </c>
      <c r="N222" s="7" t="n">
        <f aca="false">IFERROR(VALUE(SUBSTITUTE(G222,"$","")),0)</f>
        <v>79.16</v>
      </c>
      <c r="O222" s="4" t="n">
        <f aca="false">IF(A222="",0,IF(COUNTIF($A$2:A222,A222)&gt;1,1,0))</f>
        <v>0</v>
      </c>
      <c r="P222" s="4" t="n">
        <f aca="false">IF(AND(A222&lt;&gt;"",J222&lt;&gt;"",M222&gt;0,N222&gt;0,O222=0),1,0)</f>
        <v>1</v>
      </c>
      <c r="Q222" s="7" t="n">
        <f aca="false">IF(P222=1,M222*N222,0)</f>
        <v>316.64</v>
      </c>
    </row>
    <row r="223" customFormat="false" ht="15" hidden="false" customHeight="false" outlineLevel="0" collapsed="false">
      <c r="A223" s="4" t="n">
        <v>10505</v>
      </c>
      <c r="B223" s="4" t="s">
        <v>714</v>
      </c>
      <c r="C223" s="4" t="s">
        <v>140</v>
      </c>
      <c r="D223" s="4" t="s">
        <v>70</v>
      </c>
      <c r="E223" s="4" t="s">
        <v>448</v>
      </c>
      <c r="F223" s="4" t="n">
        <v>4</v>
      </c>
      <c r="G223" s="4" t="s">
        <v>715</v>
      </c>
      <c r="H223" s="4" t="s">
        <v>47</v>
      </c>
      <c r="I223" s="4" t="s">
        <v>716</v>
      </c>
      <c r="J223" s="6" t="n">
        <f aca="false">IFERROR(DATEVALUE(B223),"")</f>
        <v>45400</v>
      </c>
      <c r="K223" s="4" t="str">
        <f aca="false">IF(A223="","",PROPER(TRIM(C223)))</f>
        <v>South</v>
      </c>
      <c r="L223" s="4" t="str">
        <f aca="false">IF(A223="","",PROPER(TRIM(D223)))</f>
        <v>Camping Gear</v>
      </c>
      <c r="M223" s="4" t="n">
        <f aca="false">IFERROR(VALUE(F223),0)</f>
        <v>4</v>
      </c>
      <c r="N223" s="7" t="n">
        <f aca="false">IFERROR(VALUE(SUBSTITUTE(G223,"$","")),0)</f>
        <v>182.47</v>
      </c>
      <c r="O223" s="4" t="n">
        <f aca="false">IF(A223="",0,IF(COUNTIF($A$2:A223,A223)&gt;1,1,0))</f>
        <v>0</v>
      </c>
      <c r="P223" s="4" t="n">
        <f aca="false">IF(AND(A223&lt;&gt;"",J223&lt;&gt;"",M223&gt;0,N223&gt;0,O223=0),1,0)</f>
        <v>1</v>
      </c>
      <c r="Q223" s="7" t="n">
        <f aca="false">IF(P223=1,M223*N223,0)</f>
        <v>729.88</v>
      </c>
    </row>
    <row r="224" customFormat="false" ht="15" hidden="false" customHeight="false" outlineLevel="0" collapsed="false">
      <c r="A224" s="4" t="n">
        <v>10098</v>
      </c>
      <c r="B224" s="4" t="s">
        <v>717</v>
      </c>
      <c r="C224" s="4" t="s">
        <v>50</v>
      </c>
      <c r="D224" s="4" t="s">
        <v>58</v>
      </c>
      <c r="E224" s="4" t="s">
        <v>94</v>
      </c>
      <c r="F224" s="4" t="n">
        <v>2</v>
      </c>
      <c r="G224" s="4" t="s">
        <v>718</v>
      </c>
      <c r="H224" s="4" t="s">
        <v>73</v>
      </c>
      <c r="I224" s="4" t="s">
        <v>719</v>
      </c>
      <c r="J224" s="6" t="n">
        <f aca="false">IFERROR(DATEVALUE(B224),"")</f>
        <v>45452</v>
      </c>
      <c r="K224" s="4" t="str">
        <f aca="false">IF(A224="","",PROPER(TRIM(C224)))</f>
        <v>Midwest</v>
      </c>
      <c r="L224" s="4" t="str">
        <f aca="false">IF(A224="","",PROPER(TRIM(D224)))</f>
        <v>Climbing Gear</v>
      </c>
      <c r="M224" s="4" t="n">
        <f aca="false">IFERROR(VALUE(F224),0)</f>
        <v>2</v>
      </c>
      <c r="N224" s="7" t="n">
        <f aca="false">IFERROR(VALUE(SUBSTITUTE(G224,"$","")),0)</f>
        <v>175.28</v>
      </c>
      <c r="O224" s="4" t="n">
        <f aca="false">IF(A224="",0,IF(COUNTIF($A$2:A224,A224)&gt;1,1,0))</f>
        <v>0</v>
      </c>
      <c r="P224" s="4" t="n">
        <f aca="false">IF(AND(A224&lt;&gt;"",J224&lt;&gt;"",M224&gt;0,N224&gt;0,O224=0),1,0)</f>
        <v>1</v>
      </c>
      <c r="Q224" s="7" t="n">
        <f aca="false">IF(P224=1,M224*N224,0)</f>
        <v>350.56</v>
      </c>
    </row>
    <row r="225" customFormat="false" ht="15" hidden="false" customHeight="false" outlineLevel="0" collapsed="false">
      <c r="A225" s="4" t="n">
        <v>10331</v>
      </c>
      <c r="B225" s="4" t="s">
        <v>720</v>
      </c>
      <c r="C225" s="4" t="s">
        <v>50</v>
      </c>
      <c r="D225" s="4" t="s">
        <v>106</v>
      </c>
      <c r="E225" s="4" t="s">
        <v>111</v>
      </c>
      <c r="F225" s="4" t="n">
        <v>1</v>
      </c>
      <c r="G225" s="4" t="s">
        <v>721</v>
      </c>
      <c r="H225" s="4" t="s">
        <v>47</v>
      </c>
      <c r="I225" s="4" t="s">
        <v>722</v>
      </c>
      <c r="J225" s="6" t="n">
        <f aca="false">IFERROR(DATEVALUE(B225),"")</f>
        <v>45819</v>
      </c>
      <c r="K225" s="4" t="str">
        <f aca="false">IF(A225="","",PROPER(TRIM(C225)))</f>
        <v>Midwest</v>
      </c>
      <c r="L225" s="4" t="str">
        <f aca="false">IF(A225="","",PROPER(TRIM(D225)))</f>
        <v>Footwear</v>
      </c>
      <c r="M225" s="4" t="n">
        <f aca="false">IFERROR(VALUE(F225),0)</f>
        <v>1</v>
      </c>
      <c r="N225" s="7" t="n">
        <f aca="false">IFERROR(VALUE(SUBSTITUTE(G225,"$","")),0)</f>
        <v>92.77</v>
      </c>
      <c r="O225" s="4" t="n">
        <f aca="false">IF(A225="",0,IF(COUNTIF($A$2:A225,A225)&gt;1,1,0))</f>
        <v>0</v>
      </c>
      <c r="P225" s="4" t="n">
        <f aca="false">IF(AND(A225&lt;&gt;"",J225&lt;&gt;"",M225&gt;0,N225&gt;0,O225=0),1,0)</f>
        <v>1</v>
      </c>
      <c r="Q225" s="7" t="n">
        <f aca="false">IF(P225=1,M225*N225,0)</f>
        <v>92.77</v>
      </c>
    </row>
    <row r="226" customFormat="false" ht="15" hidden="false" customHeight="false" outlineLevel="0" collapsed="false">
      <c r="A226" s="4" t="n">
        <v>10778</v>
      </c>
      <c r="B226" s="4" t="s">
        <v>676</v>
      </c>
      <c r="C226" s="4" t="s">
        <v>155</v>
      </c>
      <c r="D226" s="4" t="s">
        <v>156</v>
      </c>
      <c r="E226" s="4" t="s">
        <v>59</v>
      </c>
      <c r="F226" s="4" t="n">
        <v>1</v>
      </c>
      <c r="G226" s="4" t="s">
        <v>677</v>
      </c>
      <c r="H226" s="4" t="s">
        <v>54</v>
      </c>
      <c r="I226" s="4" t="s">
        <v>678</v>
      </c>
      <c r="J226" s="6" t="n">
        <f aca="false">IFERROR(DATEVALUE(B226),"")</f>
        <v>45444</v>
      </c>
      <c r="K226" s="4" t="str">
        <f aca="false">IF(A226="","",PROPER(TRIM(C226)))</f>
        <v>South</v>
      </c>
      <c r="L226" s="4" t="str">
        <f aca="false">IF(A226="","",PROPER(TRIM(D226)))</f>
        <v>Climbing Gear</v>
      </c>
      <c r="M226" s="4" t="n">
        <f aca="false">IFERROR(VALUE(F226),0)</f>
        <v>1</v>
      </c>
      <c r="N226" s="7" t="n">
        <f aca="false">IFERROR(VALUE(SUBSTITUTE(G226,"$","")),0)</f>
        <v>36.51</v>
      </c>
      <c r="O226" s="4" t="n">
        <f aca="false">IF(A226="",0,IF(COUNTIF($A$2:A226,A226)&gt;1,1,0))</f>
        <v>1</v>
      </c>
      <c r="P226" s="4" t="n">
        <f aca="false">IF(AND(A226&lt;&gt;"",J226&lt;&gt;"",M226&gt;0,N226&gt;0,O226=0),1,0)</f>
        <v>0</v>
      </c>
      <c r="Q226" s="7" t="n">
        <f aca="false">IF(P226=1,M226*N226,0)</f>
        <v>0</v>
      </c>
    </row>
    <row r="227" customFormat="false" ht="15" hidden="false" customHeight="false" outlineLevel="0" collapsed="false">
      <c r="A227" s="4" t="n">
        <v>10500</v>
      </c>
      <c r="B227" s="4" t="s">
        <v>723</v>
      </c>
      <c r="C227" s="4" t="s">
        <v>50</v>
      </c>
      <c r="D227" s="4" t="s">
        <v>281</v>
      </c>
      <c r="E227" s="4" t="s">
        <v>203</v>
      </c>
      <c r="F227" s="4" t="n">
        <v>2</v>
      </c>
      <c r="G227" s="4" t="s">
        <v>724</v>
      </c>
      <c r="H227" s="4" t="s">
        <v>54</v>
      </c>
      <c r="I227" s="4" t="s">
        <v>153</v>
      </c>
      <c r="J227" s="6" t="n">
        <f aca="false">IFERROR(DATEVALUE(B227),"")</f>
        <v>45838</v>
      </c>
      <c r="K227" s="4" t="str">
        <f aca="false">IF(A227="","",PROPER(TRIM(C227)))</f>
        <v>Midwest</v>
      </c>
      <c r="L227" s="4" t="str">
        <f aca="false">IF(A227="","",PROPER(TRIM(D227)))</f>
        <v>Camping Gear</v>
      </c>
      <c r="M227" s="4" t="n">
        <f aca="false">IFERROR(VALUE(F227),0)</f>
        <v>2</v>
      </c>
      <c r="N227" s="7" t="n">
        <f aca="false">IFERROR(VALUE(SUBSTITUTE(G227,"$","")),0)</f>
        <v>202.12</v>
      </c>
      <c r="O227" s="4" t="n">
        <f aca="false">IF(A227="",0,IF(COUNTIF($A$2:A227,A227)&gt;1,1,0))</f>
        <v>0</v>
      </c>
      <c r="P227" s="4" t="n">
        <f aca="false">IF(AND(A227&lt;&gt;"",J227&lt;&gt;"",M227&gt;0,N227&gt;0,O227=0),1,0)</f>
        <v>1</v>
      </c>
      <c r="Q227" s="7" t="n">
        <f aca="false">IF(P227=1,M227*N227,0)</f>
        <v>404.24</v>
      </c>
    </row>
    <row r="228" customFormat="false" ht="15" hidden="false" customHeight="false" outlineLevel="0" collapsed="false">
      <c r="A228" s="4" t="n">
        <v>10378</v>
      </c>
      <c r="B228" s="4" t="s">
        <v>725</v>
      </c>
      <c r="C228" s="4" t="s">
        <v>105</v>
      </c>
      <c r="D228" s="4" t="s">
        <v>217</v>
      </c>
      <c r="E228" s="4" t="s">
        <v>116</v>
      </c>
      <c r="F228" s="4" t="n">
        <v>1</v>
      </c>
      <c r="G228" s="4" t="s">
        <v>267</v>
      </c>
      <c r="H228" s="4" t="s">
        <v>54</v>
      </c>
      <c r="I228" s="4" t="s">
        <v>467</v>
      </c>
      <c r="J228" s="6" t="n">
        <f aca="false">IFERROR(DATEVALUE(B228),"")</f>
        <v>45553</v>
      </c>
      <c r="K228" s="4" t="str">
        <f aca="false">IF(A228="","",PROPER(TRIM(C228)))</f>
        <v>Midwest</v>
      </c>
      <c r="L228" s="4" t="str">
        <f aca="false">IF(A228="","",PROPER(TRIM(D228)))</f>
        <v>Apparel</v>
      </c>
      <c r="M228" s="4" t="n">
        <f aca="false">IFERROR(VALUE(F228),0)</f>
        <v>1</v>
      </c>
      <c r="N228" s="7" t="n">
        <f aca="false">IFERROR(VALUE(SUBSTITUTE(G228,"$","")),0)</f>
        <v>74.44</v>
      </c>
      <c r="O228" s="4" t="n">
        <f aca="false">IF(A228="",0,IF(COUNTIF($A$2:A228,A228)&gt;1,1,0))</f>
        <v>0</v>
      </c>
      <c r="P228" s="4" t="n">
        <f aca="false">IF(AND(A228&lt;&gt;"",J228&lt;&gt;"",M228&gt;0,N228&gt;0,O228=0),1,0)</f>
        <v>1</v>
      </c>
      <c r="Q228" s="7" t="n">
        <f aca="false">IF(P228=1,M228*N228,0)</f>
        <v>74.44</v>
      </c>
    </row>
    <row r="229" customFormat="false" ht="15" hidden="false" customHeight="false" outlineLevel="0" collapsed="false">
      <c r="A229" s="4" t="n">
        <v>10037</v>
      </c>
      <c r="B229" s="4" t="s">
        <v>726</v>
      </c>
      <c r="C229" s="4" t="s">
        <v>57</v>
      </c>
      <c r="D229" s="4" t="s">
        <v>179</v>
      </c>
      <c r="E229" s="4" t="s">
        <v>59</v>
      </c>
      <c r="F229" s="4" t="n">
        <v>1</v>
      </c>
      <c r="G229" s="4" t="s">
        <v>727</v>
      </c>
      <c r="H229" s="4" t="s">
        <v>54</v>
      </c>
      <c r="I229" s="4" t="s">
        <v>728</v>
      </c>
      <c r="J229" s="6" t="n">
        <f aca="false">IFERROR(DATEVALUE(B229),"")</f>
        <v>45495</v>
      </c>
      <c r="K229" s="4" t="str">
        <f aca="false">IF(A229="","",PROPER(TRIM(C229)))</f>
        <v>West</v>
      </c>
      <c r="L229" s="4" t="str">
        <f aca="false">IF(A229="","",PROPER(TRIM(D229)))</f>
        <v>Climbing Gear</v>
      </c>
      <c r="M229" s="4" t="n">
        <f aca="false">IFERROR(VALUE(F229),0)</f>
        <v>1</v>
      </c>
      <c r="N229" s="7" t="n">
        <f aca="false">IFERROR(VALUE(SUBSTITUTE(G229,"$","")),0)</f>
        <v>43.66</v>
      </c>
      <c r="O229" s="4" t="n">
        <f aca="false">IF(A229="",0,IF(COUNTIF($A$2:A229,A229)&gt;1,1,0))</f>
        <v>0</v>
      </c>
      <c r="P229" s="4" t="n">
        <f aca="false">IF(AND(A229&lt;&gt;"",J229&lt;&gt;"",M229&gt;0,N229&gt;0,O229=0),1,0)</f>
        <v>1</v>
      </c>
      <c r="Q229" s="7" t="n">
        <f aca="false">IF(P229=1,M229*N229,0)</f>
        <v>43.66</v>
      </c>
    </row>
    <row r="230" customFormat="false" ht="15" hidden="false" customHeight="false" outlineLevel="0" collapsed="false">
      <c r="A230" s="4" t="n">
        <v>10038</v>
      </c>
      <c r="B230" s="4" t="s">
        <v>729</v>
      </c>
      <c r="C230" s="4" t="s">
        <v>50</v>
      </c>
      <c r="D230" s="4" t="s">
        <v>230</v>
      </c>
      <c r="E230" s="4" t="s">
        <v>116</v>
      </c>
      <c r="F230" s="4" t="n">
        <v>2</v>
      </c>
      <c r="G230" s="4" t="s">
        <v>730</v>
      </c>
      <c r="H230" s="4" t="s">
        <v>73</v>
      </c>
      <c r="I230" s="4" t="s">
        <v>508</v>
      </c>
      <c r="J230" s="6" t="n">
        <f aca="false">IFERROR(DATEVALUE(B230),"")</f>
        <v>45820</v>
      </c>
      <c r="K230" s="4" t="str">
        <f aca="false">IF(A230="","",PROPER(TRIM(C230)))</f>
        <v>Midwest</v>
      </c>
      <c r="L230" s="4" t="str">
        <f aca="false">IF(A230="","",PROPER(TRIM(D230)))</f>
        <v>Apparel</v>
      </c>
      <c r="M230" s="4" t="n">
        <f aca="false">IFERROR(VALUE(F230),0)</f>
        <v>2</v>
      </c>
      <c r="N230" s="7" t="n">
        <f aca="false">IFERROR(VALUE(SUBSTITUTE(G230,"$","")),0)</f>
        <v>68.08</v>
      </c>
      <c r="O230" s="4" t="n">
        <f aca="false">IF(A230="",0,IF(COUNTIF($A$2:A230,A230)&gt;1,1,0))</f>
        <v>0</v>
      </c>
      <c r="P230" s="4" t="n">
        <f aca="false">IF(AND(A230&lt;&gt;"",J230&lt;&gt;"",M230&gt;0,N230&gt;0,O230=0),1,0)</f>
        <v>1</v>
      </c>
      <c r="Q230" s="7" t="n">
        <f aca="false">IF(P230=1,M230*N230,0)</f>
        <v>136.16</v>
      </c>
    </row>
    <row r="231" customFormat="false" ht="15" hidden="false" customHeight="false" outlineLevel="0" collapsed="false">
      <c r="A231" s="4" t="n">
        <v>10484</v>
      </c>
      <c r="B231" s="4" t="s">
        <v>729</v>
      </c>
      <c r="C231" s="4" t="s">
        <v>110</v>
      </c>
      <c r="D231" s="4" t="s">
        <v>171</v>
      </c>
      <c r="E231" s="4" t="s">
        <v>448</v>
      </c>
      <c r="F231" s="4" t="n">
        <v>2</v>
      </c>
      <c r="G231" s="4" t="s">
        <v>731</v>
      </c>
      <c r="H231" s="4" t="s">
        <v>47</v>
      </c>
      <c r="I231" s="4" t="s">
        <v>508</v>
      </c>
      <c r="J231" s="6" t="n">
        <f aca="false">IFERROR(DATEVALUE(B231),"")</f>
        <v>45820</v>
      </c>
      <c r="K231" s="4" t="str">
        <f aca="false">IF(A231="","",PROPER(TRIM(C231)))</f>
        <v>Midwest</v>
      </c>
      <c r="L231" s="4" t="str">
        <f aca="false">IF(A231="","",PROPER(TRIM(D231)))</f>
        <v>Camping Gear</v>
      </c>
      <c r="M231" s="4" t="n">
        <f aca="false">IFERROR(VALUE(F231),0)</f>
        <v>2</v>
      </c>
      <c r="N231" s="7" t="n">
        <f aca="false">IFERROR(VALUE(SUBSTITUTE(G231,"$","")),0)</f>
        <v>200.69</v>
      </c>
      <c r="O231" s="4" t="n">
        <f aca="false">IF(A231="",0,IF(COUNTIF($A$2:A231,A231)&gt;1,1,0))</f>
        <v>0</v>
      </c>
      <c r="P231" s="4" t="n">
        <f aca="false">IF(AND(A231&lt;&gt;"",J231&lt;&gt;"",M231&gt;0,N231&gt;0,O231=0),1,0)</f>
        <v>1</v>
      </c>
      <c r="Q231" s="7" t="n">
        <f aca="false">IF(P231=1,M231*N231,0)</f>
        <v>401.38</v>
      </c>
    </row>
    <row r="232" customFormat="false" ht="15" hidden="false" customHeight="false" outlineLevel="0" collapsed="false">
      <c r="A232" s="4" t="n">
        <v>10555</v>
      </c>
      <c r="B232" s="4" t="s">
        <v>732</v>
      </c>
      <c r="C232" s="4" t="s">
        <v>50</v>
      </c>
      <c r="D232" s="4" t="s">
        <v>333</v>
      </c>
      <c r="E232" s="4" t="s">
        <v>210</v>
      </c>
      <c r="F232" s="4" t="n">
        <v>1</v>
      </c>
      <c r="G232" s="4" t="s">
        <v>733</v>
      </c>
      <c r="H232" s="4" t="s">
        <v>47</v>
      </c>
      <c r="I232" s="4" t="s">
        <v>373</v>
      </c>
      <c r="J232" s="6" t="n">
        <f aca="false">IFERROR(DATEVALUE(B232),"")</f>
        <v>45520</v>
      </c>
      <c r="K232" s="4" t="str">
        <f aca="false">IF(A232="","",PROPER(TRIM(C232)))</f>
        <v>Midwest</v>
      </c>
      <c r="L232" s="4" t="str">
        <f aca="false">IF(A232="","",PROPER(TRIM(D232)))</f>
        <v>Accessories</v>
      </c>
      <c r="M232" s="4" t="n">
        <f aca="false">IFERROR(VALUE(F232),0)</f>
        <v>1</v>
      </c>
      <c r="N232" s="7" t="n">
        <f aca="false">IFERROR(VALUE(SUBSTITUTE(G232,"$","")),0)</f>
        <v>34.07</v>
      </c>
      <c r="O232" s="4" t="n">
        <f aca="false">IF(A232="",0,IF(COUNTIF($A$2:A232,A232)&gt;1,1,0))</f>
        <v>0</v>
      </c>
      <c r="P232" s="4" t="n">
        <f aca="false">IF(AND(A232&lt;&gt;"",J232&lt;&gt;"",M232&gt;0,N232&gt;0,O232=0),1,0)</f>
        <v>1</v>
      </c>
      <c r="Q232" s="7" t="n">
        <f aca="false">IF(P232=1,M232*N232,0)</f>
        <v>34.07</v>
      </c>
    </row>
    <row r="233" customFormat="false" ht="15" hidden="false" customHeight="false" outlineLevel="0" collapsed="false">
      <c r="A233" s="4" t="n">
        <v>10746</v>
      </c>
      <c r="B233" s="4" t="s">
        <v>734</v>
      </c>
      <c r="C233" s="4" t="s">
        <v>105</v>
      </c>
      <c r="D233" s="4" t="s">
        <v>129</v>
      </c>
      <c r="E233" s="4" t="s">
        <v>94</v>
      </c>
      <c r="F233" s="4" t="n">
        <v>2</v>
      </c>
      <c r="G233" s="4" t="s">
        <v>735</v>
      </c>
      <c r="H233" s="4" t="s">
        <v>73</v>
      </c>
      <c r="I233" s="4" t="s">
        <v>611</v>
      </c>
      <c r="J233" s="6" t="n">
        <f aca="false">IFERROR(DATEVALUE(B233),"")</f>
        <v>45604</v>
      </c>
      <c r="K233" s="4" t="str">
        <f aca="false">IF(A233="","",PROPER(TRIM(C233)))</f>
        <v>Midwest</v>
      </c>
      <c r="L233" s="4" t="str">
        <f aca="false">IF(A233="","",PROPER(TRIM(D233)))</f>
        <v>Climbing Gear</v>
      </c>
      <c r="M233" s="4" t="n">
        <f aca="false">IFERROR(VALUE(F233),0)</f>
        <v>2</v>
      </c>
      <c r="N233" s="7" t="n">
        <f aca="false">IFERROR(VALUE(SUBSTITUTE(G233,"$","")),0)</f>
        <v>183.93</v>
      </c>
      <c r="O233" s="4" t="n">
        <f aca="false">IF(A233="",0,IF(COUNTIF($A$2:A233,A233)&gt;1,1,0))</f>
        <v>0</v>
      </c>
      <c r="P233" s="4" t="n">
        <f aca="false">IF(AND(A233&lt;&gt;"",J233&lt;&gt;"",M233&gt;0,N233&gt;0,O233=0),1,0)</f>
        <v>1</v>
      </c>
      <c r="Q233" s="7" t="n">
        <f aca="false">IF(P233=1,M233*N233,0)</f>
        <v>367.86</v>
      </c>
    </row>
    <row r="234" customFormat="false" ht="15" hidden="false" customHeight="false" outlineLevel="0" collapsed="false">
      <c r="A234" s="4" t="n">
        <v>10683</v>
      </c>
      <c r="B234" s="4" t="s">
        <v>736</v>
      </c>
      <c r="C234" s="4" t="s">
        <v>50</v>
      </c>
      <c r="D234" s="4" t="s">
        <v>76</v>
      </c>
      <c r="E234" s="4" t="s">
        <v>111</v>
      </c>
      <c r="F234" s="4" t="n">
        <v>4</v>
      </c>
      <c r="G234" s="4" t="s">
        <v>737</v>
      </c>
      <c r="H234" s="4" t="s">
        <v>54</v>
      </c>
      <c r="I234" s="4" t="s">
        <v>738</v>
      </c>
      <c r="J234" s="6" t="n">
        <f aca="false">IFERROR(DATEVALUE(B234),"")</f>
        <v>45445</v>
      </c>
      <c r="K234" s="4" t="str">
        <f aca="false">IF(A234="","",PROPER(TRIM(C234)))</f>
        <v>Midwest</v>
      </c>
      <c r="L234" s="4" t="str">
        <f aca="false">IF(A234="","",PROPER(TRIM(D234)))</f>
        <v>Footwear</v>
      </c>
      <c r="M234" s="4" t="n">
        <f aca="false">IFERROR(VALUE(F234),0)</f>
        <v>4</v>
      </c>
      <c r="N234" s="7" t="n">
        <f aca="false">IFERROR(VALUE(SUBSTITUTE(G234,"$","")),0)</f>
        <v>97.5</v>
      </c>
      <c r="O234" s="4" t="n">
        <f aca="false">IF(A234="",0,IF(COUNTIF($A$2:A234,A234)&gt;1,1,0))</f>
        <v>0</v>
      </c>
      <c r="P234" s="4" t="n">
        <f aca="false">IF(AND(A234&lt;&gt;"",J234&lt;&gt;"",M234&gt;0,N234&gt;0,O234=0),1,0)</f>
        <v>1</v>
      </c>
      <c r="Q234" s="7" t="n">
        <f aca="false">IF(P234=1,M234*N234,0)</f>
        <v>390</v>
      </c>
    </row>
    <row r="235" customFormat="false" ht="15" hidden="false" customHeight="false" outlineLevel="0" collapsed="false">
      <c r="A235" s="4" t="n">
        <v>10117</v>
      </c>
      <c r="B235" s="4" t="s">
        <v>739</v>
      </c>
      <c r="C235" s="4" t="s">
        <v>149</v>
      </c>
      <c r="D235" s="4" t="s">
        <v>51</v>
      </c>
      <c r="E235" s="4" t="s">
        <v>45</v>
      </c>
      <c r="F235" s="4" t="n">
        <v>2</v>
      </c>
      <c r="G235" s="4" t="s">
        <v>740</v>
      </c>
      <c r="H235" s="4" t="s">
        <v>73</v>
      </c>
      <c r="I235" s="4" t="s">
        <v>741</v>
      </c>
      <c r="J235" s="6" t="n">
        <f aca="false">IFERROR(DATEVALUE(B235),"")</f>
        <v>45611</v>
      </c>
      <c r="K235" s="4" t="str">
        <f aca="false">IF(A235="","",PROPER(TRIM(C235)))</f>
        <v>East</v>
      </c>
      <c r="L235" s="4" t="str">
        <f aca="false">IF(A235="","",PROPER(TRIM(D235)))</f>
        <v>Accessories</v>
      </c>
      <c r="M235" s="4" t="n">
        <f aca="false">IFERROR(VALUE(F235),0)</f>
        <v>2</v>
      </c>
      <c r="N235" s="7" t="n">
        <f aca="false">IFERROR(VALUE(SUBSTITUTE(G235,"$","")),0)</f>
        <v>49.85</v>
      </c>
      <c r="O235" s="4" t="n">
        <f aca="false">IF(A235="",0,IF(COUNTIF($A$2:A235,A235)&gt;1,1,0))</f>
        <v>0</v>
      </c>
      <c r="P235" s="4" t="n">
        <f aca="false">IF(AND(A235&lt;&gt;"",J235&lt;&gt;"",M235&gt;0,N235&gt;0,O235=0),1,0)</f>
        <v>1</v>
      </c>
      <c r="Q235" s="7" t="n">
        <f aca="false">IF(P235=1,M235*N235,0)</f>
        <v>99.7</v>
      </c>
    </row>
    <row r="236" customFormat="false" ht="15" hidden="false" customHeight="false" outlineLevel="0" collapsed="false">
      <c r="A236" s="4" t="n">
        <v>10770</v>
      </c>
      <c r="B236" s="4" t="s">
        <v>732</v>
      </c>
      <c r="C236" s="4" t="s">
        <v>332</v>
      </c>
      <c r="D236" s="4" t="s">
        <v>438</v>
      </c>
      <c r="E236" s="4" t="s">
        <v>151</v>
      </c>
      <c r="F236" s="4" t="n">
        <v>2</v>
      </c>
      <c r="G236" s="4" t="s">
        <v>742</v>
      </c>
      <c r="H236" s="4" t="s">
        <v>47</v>
      </c>
      <c r="I236" s="4" t="s">
        <v>743</v>
      </c>
      <c r="J236" s="6" t="n">
        <f aca="false">IFERROR(DATEVALUE(B236),"")</f>
        <v>45520</v>
      </c>
      <c r="K236" s="4" t="str">
        <f aca="false">IF(A236="","",PROPER(TRIM(C236)))</f>
        <v>West</v>
      </c>
      <c r="L236" s="4" t="str">
        <f aca="false">IF(A236="","",PROPER(TRIM(D236)))</f>
        <v>Footwear</v>
      </c>
      <c r="M236" s="4" t="n">
        <f aca="false">IFERROR(VALUE(F236),0)</f>
        <v>2</v>
      </c>
      <c r="N236" s="7" t="n">
        <f aca="false">IFERROR(VALUE(SUBSTITUTE(G236,"$","")),0)</f>
        <v>164.52</v>
      </c>
      <c r="O236" s="4" t="n">
        <f aca="false">IF(A236="",0,IF(COUNTIF($A$2:A236,A236)&gt;1,1,0))</f>
        <v>0</v>
      </c>
      <c r="P236" s="4" t="n">
        <f aca="false">IF(AND(A236&lt;&gt;"",J236&lt;&gt;"",M236&gt;0,N236&gt;0,O236=0),1,0)</f>
        <v>1</v>
      </c>
      <c r="Q236" s="7" t="n">
        <f aca="false">IF(P236=1,M236*N236,0)</f>
        <v>329.04</v>
      </c>
    </row>
    <row r="237" customFormat="false" ht="15" hidden="false" customHeight="false" outlineLevel="0" collapsed="false">
      <c r="A237" s="4" t="n">
        <v>10370</v>
      </c>
      <c r="B237" s="4" t="s">
        <v>350</v>
      </c>
      <c r="C237" s="4" t="s">
        <v>133</v>
      </c>
      <c r="D237" s="4" t="s">
        <v>179</v>
      </c>
      <c r="E237" s="4" t="s">
        <v>59</v>
      </c>
      <c r="F237" s="4" t="n">
        <v>1</v>
      </c>
      <c r="G237" s="4" t="s">
        <v>744</v>
      </c>
      <c r="H237" s="4" t="s">
        <v>73</v>
      </c>
      <c r="I237" s="4" t="s">
        <v>745</v>
      </c>
      <c r="J237" s="6" t="n">
        <f aca="false">IFERROR(DATEVALUE(B237),"")</f>
        <v>45385</v>
      </c>
      <c r="K237" s="4" t="str">
        <f aca="false">IF(A237="","",PROPER(TRIM(C237)))</f>
        <v>East</v>
      </c>
      <c r="L237" s="4" t="str">
        <f aca="false">IF(A237="","",PROPER(TRIM(D237)))</f>
        <v>Climbing Gear</v>
      </c>
      <c r="M237" s="4" t="n">
        <f aca="false">IFERROR(VALUE(F237),0)</f>
        <v>1</v>
      </c>
      <c r="N237" s="7" t="n">
        <f aca="false">IFERROR(VALUE(SUBSTITUTE(G237,"$","")),0)</f>
        <v>42.6</v>
      </c>
      <c r="O237" s="4" t="n">
        <f aca="false">IF(A237="",0,IF(COUNTIF($A$2:A237,A237)&gt;1,1,0))</f>
        <v>0</v>
      </c>
      <c r="P237" s="4" t="n">
        <f aca="false">IF(AND(A237&lt;&gt;"",J237&lt;&gt;"",M237&gt;0,N237&gt;0,O237=0),1,0)</f>
        <v>1</v>
      </c>
      <c r="Q237" s="7" t="n">
        <f aca="false">IF(P237=1,M237*N237,0)</f>
        <v>42.6</v>
      </c>
    </row>
    <row r="238" customFormat="false" ht="15" hidden="false" customHeight="false" outlineLevel="0" collapsed="false">
      <c r="A238" s="4" t="n">
        <v>10755</v>
      </c>
      <c r="B238" s="4" t="s">
        <v>746</v>
      </c>
      <c r="C238" s="4" t="s">
        <v>50</v>
      </c>
      <c r="D238" s="4" t="s">
        <v>101</v>
      </c>
      <c r="E238" s="4" t="s">
        <v>160</v>
      </c>
      <c r="F238" s="4" t="n">
        <v>1</v>
      </c>
      <c r="G238" s="4" t="s">
        <v>747</v>
      </c>
      <c r="H238" s="4" t="s">
        <v>47</v>
      </c>
      <c r="I238" s="4" t="s">
        <v>637</v>
      </c>
      <c r="J238" s="6" t="n">
        <f aca="false">IFERROR(DATEVALUE(B238),"")</f>
        <v>45481</v>
      </c>
      <c r="K238" s="4" t="str">
        <f aca="false">IF(A238="","",PROPER(TRIM(C238)))</f>
        <v>Midwest</v>
      </c>
      <c r="L238" s="4" t="str">
        <f aca="false">IF(A238="","",PROPER(TRIM(D238)))</f>
        <v>Accessories</v>
      </c>
      <c r="M238" s="4" t="n">
        <f aca="false">IFERROR(VALUE(F238),0)</f>
        <v>1</v>
      </c>
      <c r="N238" s="7" t="n">
        <f aca="false">IFERROR(VALUE(SUBSTITUTE(G238,"$","")),0)</f>
        <v>24.22</v>
      </c>
      <c r="O238" s="4" t="n">
        <f aca="false">IF(A238="",0,IF(COUNTIF($A$2:A238,A238)&gt;1,1,0))</f>
        <v>0</v>
      </c>
      <c r="P238" s="4" t="n">
        <f aca="false">IF(AND(A238&lt;&gt;"",J238&lt;&gt;"",M238&gt;0,N238&gt;0,O238=0),1,0)</f>
        <v>1</v>
      </c>
      <c r="Q238" s="7" t="n">
        <f aca="false">IF(P238=1,M238*N238,0)</f>
        <v>24.22</v>
      </c>
    </row>
    <row r="239" customFormat="false" ht="15" hidden="false" customHeight="false" outlineLevel="0" collapsed="false">
      <c r="A239" s="4" t="n">
        <v>10561</v>
      </c>
      <c r="B239" s="4" t="s">
        <v>748</v>
      </c>
      <c r="C239" s="4" t="s">
        <v>183</v>
      </c>
      <c r="D239" s="4" t="s">
        <v>217</v>
      </c>
      <c r="E239" s="4" t="s">
        <v>243</v>
      </c>
      <c r="F239" s="4" t="n">
        <v>1</v>
      </c>
      <c r="G239" s="4" t="s">
        <v>749</v>
      </c>
      <c r="H239" s="4" t="s">
        <v>54</v>
      </c>
      <c r="I239" s="4" t="s">
        <v>190</v>
      </c>
      <c r="J239" s="6" t="n">
        <f aca="false">IFERROR(DATEVALUE(B239),"")</f>
        <v>45666</v>
      </c>
      <c r="K239" s="4" t="str">
        <f aca="false">IF(A239="","",PROPER(TRIM(C239)))</f>
        <v>West</v>
      </c>
      <c r="L239" s="4" t="str">
        <f aca="false">IF(A239="","",PROPER(TRIM(D239)))</f>
        <v>Apparel</v>
      </c>
      <c r="M239" s="4" t="n">
        <f aca="false">IFERROR(VALUE(F239),0)</f>
        <v>1</v>
      </c>
      <c r="N239" s="7" t="n">
        <f aca="false">IFERROR(VALUE(SUBSTITUTE(G239,"$","")),0)</f>
        <v>86.1</v>
      </c>
      <c r="O239" s="4" t="n">
        <f aca="false">IF(A239="",0,IF(COUNTIF($A$2:A239,A239)&gt;1,1,0))</f>
        <v>0</v>
      </c>
      <c r="P239" s="4" t="n">
        <f aca="false">IF(AND(A239&lt;&gt;"",J239&lt;&gt;"",M239&gt;0,N239&gt;0,O239=0),1,0)</f>
        <v>1</v>
      </c>
      <c r="Q239" s="7" t="n">
        <f aca="false">IF(P239=1,M239*N239,0)</f>
        <v>86.1</v>
      </c>
    </row>
    <row r="240" customFormat="false" ht="15" hidden="false" customHeight="false" outlineLevel="0" collapsed="false">
      <c r="A240" s="4" t="n">
        <v>10535</v>
      </c>
      <c r="B240" s="4" t="s">
        <v>750</v>
      </c>
      <c r="C240" s="4" t="s">
        <v>69</v>
      </c>
      <c r="D240" s="4" t="s">
        <v>179</v>
      </c>
      <c r="E240" s="4" t="s">
        <v>94</v>
      </c>
      <c r="F240" s="4" t="n">
        <v>3</v>
      </c>
      <c r="G240" s="4"/>
      <c r="H240" s="4" t="s">
        <v>54</v>
      </c>
      <c r="I240" s="4" t="s">
        <v>425</v>
      </c>
      <c r="J240" s="6" t="n">
        <f aca="false">IFERROR(DATEVALUE(B240),"")</f>
        <v>45436</v>
      </c>
      <c r="K240" s="4" t="str">
        <f aca="false">IF(A240="","",PROPER(TRIM(C240)))</f>
        <v>East</v>
      </c>
      <c r="L240" s="4" t="str">
        <f aca="false">IF(A240="","",PROPER(TRIM(D240)))</f>
        <v>Climbing Gear</v>
      </c>
      <c r="M240" s="4" t="n">
        <f aca="false">IFERROR(VALUE(F240),0)</f>
        <v>3</v>
      </c>
      <c r="N240" s="7" t="n">
        <f aca="false">IFERROR(VALUE(SUBSTITUTE(G240,"$","")),0)</f>
        <v>0</v>
      </c>
      <c r="O240" s="4" t="n">
        <f aca="false">IF(A240="",0,IF(COUNTIF($A$2:A240,A240)&gt;1,1,0))</f>
        <v>0</v>
      </c>
      <c r="P240" s="4" t="n">
        <f aca="false">IF(AND(A240&lt;&gt;"",J240&lt;&gt;"",M240&gt;0,N240&gt;0,O240=0),1,0)</f>
        <v>0</v>
      </c>
      <c r="Q240" s="7" t="n">
        <f aca="false">IF(P240=1,M240*N240,0)</f>
        <v>0</v>
      </c>
    </row>
    <row r="241" customFormat="false" ht="15" hidden="false" customHeight="false" outlineLevel="0" collapsed="false">
      <c r="A241" s="4" t="n">
        <v>10548</v>
      </c>
      <c r="B241" s="4" t="s">
        <v>751</v>
      </c>
      <c r="C241" s="4" t="s">
        <v>110</v>
      </c>
      <c r="D241" s="4" t="s">
        <v>58</v>
      </c>
      <c r="E241" s="4" t="s">
        <v>125</v>
      </c>
      <c r="F241" s="4" t="n">
        <v>2</v>
      </c>
      <c r="G241" s="4" t="s">
        <v>752</v>
      </c>
      <c r="H241" s="4" t="s">
        <v>47</v>
      </c>
      <c r="I241" s="4" t="s">
        <v>616</v>
      </c>
      <c r="J241" s="6" t="n">
        <f aca="false">IFERROR(DATEVALUE(B241),"")</f>
        <v>45337</v>
      </c>
      <c r="K241" s="4" t="str">
        <f aca="false">IF(A241="","",PROPER(TRIM(C241)))</f>
        <v>Midwest</v>
      </c>
      <c r="L241" s="4" t="str">
        <f aca="false">IF(A241="","",PROPER(TRIM(D241)))</f>
        <v>Climbing Gear</v>
      </c>
      <c r="M241" s="4" t="n">
        <f aca="false">IFERROR(VALUE(F241),0)</f>
        <v>2</v>
      </c>
      <c r="N241" s="7" t="n">
        <f aca="false">IFERROR(VALUE(SUBSTITUTE(G241,"$","")),0)</f>
        <v>99.78</v>
      </c>
      <c r="O241" s="4" t="n">
        <f aca="false">IF(A241="",0,IF(COUNTIF($A$2:A241,A241)&gt;1,1,0))</f>
        <v>0</v>
      </c>
      <c r="P241" s="4" t="n">
        <f aca="false">IF(AND(A241&lt;&gt;"",J241&lt;&gt;"",M241&gt;0,N241&gt;0,O241=0),1,0)</f>
        <v>1</v>
      </c>
      <c r="Q241" s="7" t="n">
        <f aca="false">IF(P241=1,M241*N241,0)</f>
        <v>199.56</v>
      </c>
    </row>
    <row r="242" customFormat="false" ht="15" hidden="false" customHeight="false" outlineLevel="0" collapsed="false">
      <c r="A242" s="4" t="n">
        <v>10363</v>
      </c>
      <c r="B242" s="4" t="s">
        <v>753</v>
      </c>
      <c r="C242" s="4" t="s">
        <v>105</v>
      </c>
      <c r="D242" s="4" t="s">
        <v>230</v>
      </c>
      <c r="E242" s="4" t="s">
        <v>89</v>
      </c>
      <c r="F242" s="4" t="n">
        <v>-2</v>
      </c>
      <c r="G242" s="4" t="s">
        <v>754</v>
      </c>
      <c r="H242" s="4" t="s">
        <v>54</v>
      </c>
      <c r="I242" s="4" t="s">
        <v>755</v>
      </c>
      <c r="J242" s="6" t="n">
        <f aca="false">IFERROR(DATEVALUE(B242),"")</f>
        <v>45416</v>
      </c>
      <c r="K242" s="4" t="str">
        <f aca="false">IF(A242="","",PROPER(TRIM(C242)))</f>
        <v>Midwest</v>
      </c>
      <c r="L242" s="4" t="str">
        <f aca="false">IF(A242="","",PROPER(TRIM(D242)))</f>
        <v>Apparel</v>
      </c>
      <c r="M242" s="4" t="n">
        <f aca="false">IFERROR(VALUE(F242),0)</f>
        <v>-2</v>
      </c>
      <c r="N242" s="7" t="n">
        <f aca="false">IFERROR(VALUE(SUBSTITUTE(G242,"$","")),0)</f>
        <v>55.52</v>
      </c>
      <c r="O242" s="4" t="n">
        <f aca="false">IF(A242="",0,IF(COUNTIF($A$2:A242,A242)&gt;1,1,0))</f>
        <v>0</v>
      </c>
      <c r="P242" s="4" t="n">
        <f aca="false">IF(AND(A242&lt;&gt;"",J242&lt;&gt;"",M242&gt;0,N242&gt;0,O242=0),1,0)</f>
        <v>0</v>
      </c>
      <c r="Q242" s="7" t="n">
        <f aca="false">IF(P242=1,M242*N242,0)</f>
        <v>0</v>
      </c>
    </row>
    <row r="243" customFormat="false" ht="15" hidden="false" customHeight="false" outlineLevel="0" collapsed="false">
      <c r="A243" s="4" t="n">
        <v>10217</v>
      </c>
      <c r="B243" s="4" t="s">
        <v>756</v>
      </c>
      <c r="C243" s="4" t="s">
        <v>133</v>
      </c>
      <c r="D243" s="4" t="s">
        <v>101</v>
      </c>
      <c r="E243" s="4" t="s">
        <v>210</v>
      </c>
      <c r="F243" s="4" t="n">
        <v>3</v>
      </c>
      <c r="G243" s="4" t="s">
        <v>757</v>
      </c>
      <c r="H243" s="4" t="s">
        <v>54</v>
      </c>
      <c r="I243" s="4" t="s">
        <v>758</v>
      </c>
      <c r="J243" s="6" t="n">
        <f aca="false">IFERROR(DATEVALUE(B243),"")</f>
        <v>45681</v>
      </c>
      <c r="K243" s="4" t="str">
        <f aca="false">IF(A243="","",PROPER(TRIM(C243)))</f>
        <v>East</v>
      </c>
      <c r="L243" s="4" t="str">
        <f aca="false">IF(A243="","",PROPER(TRIM(D243)))</f>
        <v>Accessories</v>
      </c>
      <c r="M243" s="4" t="n">
        <f aca="false">IFERROR(VALUE(F243),0)</f>
        <v>3</v>
      </c>
      <c r="N243" s="7" t="n">
        <f aca="false">IFERROR(VALUE(SUBSTITUTE(G243,"$","")),0)</f>
        <v>36.67</v>
      </c>
      <c r="O243" s="4" t="n">
        <f aca="false">IF(A243="",0,IF(COUNTIF($A$2:A243,A243)&gt;1,1,0))</f>
        <v>0</v>
      </c>
      <c r="P243" s="4" t="n">
        <f aca="false">IF(AND(A243&lt;&gt;"",J243&lt;&gt;"",M243&gt;0,N243&gt;0,O243=0),1,0)</f>
        <v>1</v>
      </c>
      <c r="Q243" s="7" t="n">
        <f aca="false">IF(P243=1,M243*N243,0)</f>
        <v>110.01</v>
      </c>
    </row>
    <row r="244" customFormat="false" ht="15" hidden="false" customHeight="false" outlineLevel="0" collapsed="false">
      <c r="A244" s="4" t="n">
        <v>10083</v>
      </c>
      <c r="B244" s="4" t="s">
        <v>759</v>
      </c>
      <c r="C244" s="4" t="s">
        <v>120</v>
      </c>
      <c r="D244" s="4" t="s">
        <v>58</v>
      </c>
      <c r="E244" s="4" t="s">
        <v>188</v>
      </c>
      <c r="F244" s="4" t="n">
        <v>5</v>
      </c>
      <c r="G244" s="4" t="s">
        <v>760</v>
      </c>
      <c r="H244" s="4" t="s">
        <v>47</v>
      </c>
      <c r="I244" s="4" t="s">
        <v>761</v>
      </c>
      <c r="J244" s="6" t="n">
        <f aca="false">IFERROR(DATEVALUE(B244),"")</f>
        <v>45755</v>
      </c>
      <c r="K244" s="4" t="str">
        <f aca="false">IF(A244="","",PROPER(TRIM(C244)))</f>
        <v>East</v>
      </c>
      <c r="L244" s="4" t="str">
        <f aca="false">IF(A244="","",PROPER(TRIM(D244)))</f>
        <v>Climbing Gear</v>
      </c>
      <c r="M244" s="4" t="n">
        <f aca="false">IFERROR(VALUE(F244),0)</f>
        <v>5</v>
      </c>
      <c r="N244" s="7" t="n">
        <f aca="false">IFERROR(VALUE(SUBSTITUTE(G244,"$","")),0)</f>
        <v>18.39</v>
      </c>
      <c r="O244" s="4" t="n">
        <f aca="false">IF(A244="",0,IF(COUNTIF($A$2:A244,A244)&gt;1,1,0))</f>
        <v>0</v>
      </c>
      <c r="P244" s="4" t="n">
        <f aca="false">IF(AND(A244&lt;&gt;"",J244&lt;&gt;"",M244&gt;0,N244&gt;0,O244=0),1,0)</f>
        <v>1</v>
      </c>
      <c r="Q244" s="7" t="n">
        <f aca="false">IF(P244=1,M244*N244,0)</f>
        <v>91.95</v>
      </c>
    </row>
    <row r="245" customFormat="false" ht="15" hidden="false" customHeight="false" outlineLevel="0" collapsed="false">
      <c r="A245" s="4" t="n">
        <v>10522</v>
      </c>
      <c r="B245" s="4" t="s">
        <v>762</v>
      </c>
      <c r="C245" s="4" t="s">
        <v>110</v>
      </c>
      <c r="D245" s="4" t="s">
        <v>58</v>
      </c>
      <c r="E245" s="4" t="s">
        <v>125</v>
      </c>
      <c r="F245" s="4" t="n">
        <v>4</v>
      </c>
      <c r="G245" s="4" t="s">
        <v>763</v>
      </c>
      <c r="H245" s="4" t="s">
        <v>47</v>
      </c>
      <c r="I245" s="4" t="s">
        <v>764</v>
      </c>
      <c r="J245" s="6" t="n">
        <f aca="false">IFERROR(DATEVALUE(B245),"")</f>
        <v>45492</v>
      </c>
      <c r="K245" s="4" t="str">
        <f aca="false">IF(A245="","",PROPER(TRIM(C245)))</f>
        <v>Midwest</v>
      </c>
      <c r="L245" s="4" t="str">
        <f aca="false">IF(A245="","",PROPER(TRIM(D245)))</f>
        <v>Climbing Gear</v>
      </c>
      <c r="M245" s="4" t="n">
        <f aca="false">IFERROR(VALUE(F245),0)</f>
        <v>4</v>
      </c>
      <c r="N245" s="7" t="n">
        <f aca="false">IFERROR(VALUE(SUBSTITUTE(G245,"$","")),0)</f>
        <v>101.11</v>
      </c>
      <c r="O245" s="4" t="n">
        <f aca="false">IF(A245="",0,IF(COUNTIF($A$2:A245,A245)&gt;1,1,0))</f>
        <v>0</v>
      </c>
      <c r="P245" s="4" t="n">
        <f aca="false">IF(AND(A245&lt;&gt;"",J245&lt;&gt;"",M245&gt;0,N245&gt;0,O245=0),1,0)</f>
        <v>1</v>
      </c>
      <c r="Q245" s="7" t="n">
        <f aca="false">IF(P245=1,M245*N245,0)</f>
        <v>404.44</v>
      </c>
    </row>
    <row r="246" customFormat="false" ht="15" hidden="false" customHeight="false" outlineLevel="0" collapsed="false">
      <c r="A246" s="4" t="n">
        <v>10753</v>
      </c>
      <c r="B246" s="4" t="s">
        <v>765</v>
      </c>
      <c r="C246" s="4" t="s">
        <v>140</v>
      </c>
      <c r="D246" s="4" t="s">
        <v>225</v>
      </c>
      <c r="E246" s="4" t="s">
        <v>52</v>
      </c>
      <c r="F246" s="4" t="n">
        <v>2</v>
      </c>
      <c r="G246" s="4" t="s">
        <v>766</v>
      </c>
      <c r="H246" s="4" t="s">
        <v>54</v>
      </c>
      <c r="I246" s="4" t="s">
        <v>767</v>
      </c>
      <c r="J246" s="6" t="n">
        <f aca="false">IFERROR(DATEVALUE(B246),"")</f>
        <v>45743</v>
      </c>
      <c r="K246" s="4" t="str">
        <f aca="false">IF(A246="","",PROPER(TRIM(C246)))</f>
        <v>South</v>
      </c>
      <c r="L246" s="4" t="str">
        <f aca="false">IF(A246="","",PROPER(TRIM(D246)))</f>
        <v>Accessories</v>
      </c>
      <c r="M246" s="4" t="n">
        <f aca="false">IFERROR(VALUE(F246),0)</f>
        <v>2</v>
      </c>
      <c r="N246" s="7" t="n">
        <f aca="false">IFERROR(VALUE(SUBSTITUTE(G246,"$","")),0)</f>
        <v>92.34</v>
      </c>
      <c r="O246" s="4" t="n">
        <f aca="false">IF(A246="",0,IF(COUNTIF($A$2:A246,A246)&gt;1,1,0))</f>
        <v>0</v>
      </c>
      <c r="P246" s="4" t="n">
        <f aca="false">IF(AND(A246&lt;&gt;"",J246&lt;&gt;"",M246&gt;0,N246&gt;0,O246=0),1,0)</f>
        <v>1</v>
      </c>
      <c r="Q246" s="7" t="n">
        <f aca="false">IF(P246=1,M246*N246,0)</f>
        <v>184.68</v>
      </c>
    </row>
    <row r="247" customFormat="false" ht="15" hidden="false" customHeight="false" outlineLevel="0" collapsed="false">
      <c r="A247" s="4" t="n">
        <v>10615</v>
      </c>
      <c r="B247" s="4" t="s">
        <v>768</v>
      </c>
      <c r="C247" s="4" t="s">
        <v>133</v>
      </c>
      <c r="D247" s="4" t="s">
        <v>575</v>
      </c>
      <c r="E247" s="4" t="s">
        <v>52</v>
      </c>
      <c r="F247" s="4" t="n">
        <v>1</v>
      </c>
      <c r="G247" s="4" t="s">
        <v>769</v>
      </c>
      <c r="H247" s="4" t="s">
        <v>73</v>
      </c>
      <c r="I247" s="4" t="s">
        <v>373</v>
      </c>
      <c r="J247" s="6" t="n">
        <f aca="false">IFERROR(DATEVALUE(B247),"")</f>
        <v>45473</v>
      </c>
      <c r="K247" s="4" t="str">
        <f aca="false">IF(A247="","",PROPER(TRIM(C247)))</f>
        <v>East</v>
      </c>
      <c r="L247" s="4" t="str">
        <f aca="false">IF(A247="","",PROPER(TRIM(D247)))</f>
        <v>Accessories</v>
      </c>
      <c r="M247" s="4" t="n">
        <f aca="false">IFERROR(VALUE(F247),0)</f>
        <v>1</v>
      </c>
      <c r="N247" s="7" t="n">
        <f aca="false">IFERROR(VALUE(SUBSTITUTE(G247,"$","")),0)</f>
        <v>93.6</v>
      </c>
      <c r="O247" s="4" t="n">
        <f aca="false">IF(A247="",0,IF(COUNTIF($A$2:A247,A247)&gt;1,1,0))</f>
        <v>0</v>
      </c>
      <c r="P247" s="4" t="n">
        <f aca="false">IF(AND(A247&lt;&gt;"",J247&lt;&gt;"",M247&gt;0,N247&gt;0,O247=0),1,0)</f>
        <v>1</v>
      </c>
      <c r="Q247" s="7" t="n">
        <f aca="false">IF(P247=1,M247*N247,0)</f>
        <v>93.6</v>
      </c>
    </row>
    <row r="248" customFormat="false" ht="15" hidden="false" customHeight="false" outlineLevel="0" collapsed="false">
      <c r="A248" s="4" t="n">
        <v>10020</v>
      </c>
      <c r="B248" s="4" t="s">
        <v>770</v>
      </c>
      <c r="C248" s="4" t="s">
        <v>93</v>
      </c>
      <c r="D248" s="4" t="s">
        <v>88</v>
      </c>
      <c r="E248" s="4" t="s">
        <v>116</v>
      </c>
      <c r="F248" s="4" t="n">
        <v>2</v>
      </c>
      <c r="G248" s="4" t="s">
        <v>771</v>
      </c>
      <c r="H248" s="4" t="s">
        <v>73</v>
      </c>
      <c r="I248" s="4" t="s">
        <v>379</v>
      </c>
      <c r="J248" s="6" t="n">
        <f aca="false">IFERROR(DATEVALUE(B248),"")</f>
        <v>45415</v>
      </c>
      <c r="K248" s="4" t="str">
        <f aca="false">IF(A248="","",PROPER(TRIM(C248)))</f>
        <v>West</v>
      </c>
      <c r="L248" s="4" t="str">
        <f aca="false">IF(A248="","",PROPER(TRIM(D248)))</f>
        <v>Apparel</v>
      </c>
      <c r="M248" s="4" t="n">
        <f aca="false">IFERROR(VALUE(F248),0)</f>
        <v>2</v>
      </c>
      <c r="N248" s="7" t="n">
        <f aca="false">IFERROR(VALUE(SUBSTITUTE(G248,"$","")),0)</f>
        <v>73.82</v>
      </c>
      <c r="O248" s="4" t="n">
        <f aca="false">IF(A248="",0,IF(COUNTIF($A$2:A248,A248)&gt;1,1,0))</f>
        <v>0</v>
      </c>
      <c r="P248" s="4" t="n">
        <f aca="false">IF(AND(A248&lt;&gt;"",J248&lt;&gt;"",M248&gt;0,N248&gt;0,O248=0),1,0)</f>
        <v>1</v>
      </c>
      <c r="Q248" s="7" t="n">
        <f aca="false">IF(P248=1,M248*N248,0)</f>
        <v>147.64</v>
      </c>
    </row>
    <row r="249" customFormat="false" ht="15" hidden="false" customHeight="false" outlineLevel="0" collapsed="false">
      <c r="A249" s="4" t="n">
        <v>10468</v>
      </c>
      <c r="B249" s="4" t="s">
        <v>772</v>
      </c>
      <c r="C249" s="4" t="s">
        <v>149</v>
      </c>
      <c r="D249" s="4" t="s">
        <v>230</v>
      </c>
      <c r="E249" s="4" t="s">
        <v>116</v>
      </c>
      <c r="F249" s="4" t="n">
        <v>2</v>
      </c>
      <c r="G249" s="4" t="s">
        <v>773</v>
      </c>
      <c r="H249" s="4" t="s">
        <v>47</v>
      </c>
      <c r="I249" s="4" t="s">
        <v>774</v>
      </c>
      <c r="J249" s="6" t="n">
        <f aca="false">IFERROR(DATEVALUE(B249),"")</f>
        <v>45379</v>
      </c>
      <c r="K249" s="4" t="str">
        <f aca="false">IF(A249="","",PROPER(TRIM(C249)))</f>
        <v>East</v>
      </c>
      <c r="L249" s="4" t="str">
        <f aca="false">IF(A249="","",PROPER(TRIM(D249)))</f>
        <v>Apparel</v>
      </c>
      <c r="M249" s="4" t="n">
        <f aca="false">IFERROR(VALUE(F249),0)</f>
        <v>2</v>
      </c>
      <c r="N249" s="7" t="n">
        <f aca="false">IFERROR(VALUE(SUBSTITUTE(G249,"$","")),0)</f>
        <v>67.86</v>
      </c>
      <c r="O249" s="4" t="n">
        <f aca="false">IF(A249="",0,IF(COUNTIF($A$2:A249,A249)&gt;1,1,0))</f>
        <v>0</v>
      </c>
      <c r="P249" s="4" t="n">
        <f aca="false">IF(AND(A249&lt;&gt;"",J249&lt;&gt;"",M249&gt;0,N249&gt;0,O249=0),1,0)</f>
        <v>1</v>
      </c>
      <c r="Q249" s="7" t="n">
        <f aca="false">IF(P249=1,M249*N249,0)</f>
        <v>135.72</v>
      </c>
    </row>
    <row r="250" customFormat="false" ht="15" hidden="false" customHeight="false" outlineLevel="0" collapsed="false">
      <c r="A250" s="4" t="n">
        <v>10395</v>
      </c>
      <c r="B250" s="4" t="s">
        <v>775</v>
      </c>
      <c r="C250" s="4" t="s">
        <v>93</v>
      </c>
      <c r="D250" s="4" t="s">
        <v>58</v>
      </c>
      <c r="E250" s="4" t="s">
        <v>59</v>
      </c>
      <c r="F250" s="4" t="n">
        <v>1</v>
      </c>
      <c r="G250" s="4" t="s">
        <v>776</v>
      </c>
      <c r="H250" s="4" t="s">
        <v>54</v>
      </c>
      <c r="I250" s="4" t="s">
        <v>265</v>
      </c>
      <c r="J250" s="6" t="n">
        <f aca="false">IFERROR(DATEVALUE(B250),"")</f>
        <v>45297</v>
      </c>
      <c r="K250" s="4" t="str">
        <f aca="false">IF(A250="","",PROPER(TRIM(C250)))</f>
        <v>West</v>
      </c>
      <c r="L250" s="4" t="str">
        <f aca="false">IF(A250="","",PROPER(TRIM(D250)))</f>
        <v>Climbing Gear</v>
      </c>
      <c r="M250" s="4" t="n">
        <f aca="false">IFERROR(VALUE(F250),0)</f>
        <v>1</v>
      </c>
      <c r="N250" s="7" t="n">
        <f aca="false">IFERROR(VALUE(SUBSTITUTE(G250,"$","")),0)</f>
        <v>41.52</v>
      </c>
      <c r="O250" s="4" t="n">
        <f aca="false">IF(A250="",0,IF(COUNTIF($A$2:A250,A250)&gt;1,1,0))</f>
        <v>0</v>
      </c>
      <c r="P250" s="4" t="n">
        <f aca="false">IF(AND(A250&lt;&gt;"",J250&lt;&gt;"",M250&gt;0,N250&gt;0,O250=0),1,0)</f>
        <v>1</v>
      </c>
      <c r="Q250" s="7" t="n">
        <f aca="false">IF(P250=1,M250*N250,0)</f>
        <v>41.52</v>
      </c>
    </row>
    <row r="251" customFormat="false" ht="15" hidden="false" customHeight="false" outlineLevel="0" collapsed="false">
      <c r="A251" s="4" t="n">
        <v>10436</v>
      </c>
      <c r="B251" s="4" t="s">
        <v>777</v>
      </c>
      <c r="C251" s="4" t="s">
        <v>69</v>
      </c>
      <c r="D251" s="4" t="s">
        <v>58</v>
      </c>
      <c r="E251" s="4" t="s">
        <v>125</v>
      </c>
      <c r="F251" s="4" t="n">
        <v>1</v>
      </c>
      <c r="G251" s="4" t="s">
        <v>778</v>
      </c>
      <c r="H251" s="4" t="s">
        <v>73</v>
      </c>
      <c r="I251" s="4" t="s">
        <v>346</v>
      </c>
      <c r="J251" s="6" t="n">
        <f aca="false">IFERROR(DATEVALUE(B251),"")</f>
        <v>45364</v>
      </c>
      <c r="K251" s="4" t="str">
        <f aca="false">IF(A251="","",PROPER(TRIM(C251)))</f>
        <v>East</v>
      </c>
      <c r="L251" s="4" t="str">
        <f aca="false">IF(A251="","",PROPER(TRIM(D251)))</f>
        <v>Climbing Gear</v>
      </c>
      <c r="M251" s="4" t="n">
        <f aca="false">IFERROR(VALUE(F251),0)</f>
        <v>1</v>
      </c>
      <c r="N251" s="7" t="n">
        <f aca="false">IFERROR(VALUE(SUBSTITUTE(G251,"$","")),0)</f>
        <v>93.24</v>
      </c>
      <c r="O251" s="4" t="n">
        <f aca="false">IF(A251="",0,IF(COUNTIF($A$2:A251,A251)&gt;1,1,0))</f>
        <v>0</v>
      </c>
      <c r="P251" s="4" t="n">
        <f aca="false">IF(AND(A251&lt;&gt;"",J251&lt;&gt;"",M251&gt;0,N251&gt;0,O251=0),1,0)</f>
        <v>1</v>
      </c>
      <c r="Q251" s="7" t="n">
        <f aca="false">IF(P251=1,M251*N251,0)</f>
        <v>93.24</v>
      </c>
    </row>
    <row r="252" customFormat="false" ht="15" hidden="false" customHeight="false" outlineLevel="0" collapsed="false">
      <c r="A252" s="4" t="n">
        <v>10182</v>
      </c>
      <c r="B252" s="4" t="s">
        <v>779</v>
      </c>
      <c r="C252" s="4" t="s">
        <v>120</v>
      </c>
      <c r="D252" s="4" t="s">
        <v>575</v>
      </c>
      <c r="E252" s="4" t="s">
        <v>210</v>
      </c>
      <c r="F252" s="4" t="n">
        <v>0</v>
      </c>
      <c r="G252" s="4" t="s">
        <v>780</v>
      </c>
      <c r="H252" s="4" t="s">
        <v>73</v>
      </c>
      <c r="I252" s="4" t="s">
        <v>514</v>
      </c>
      <c r="J252" s="6" t="n">
        <f aca="false">IFERROR(DATEVALUE(B252),"")</f>
        <v>45730</v>
      </c>
      <c r="K252" s="4" t="str">
        <f aca="false">IF(A252="","",PROPER(TRIM(C252)))</f>
        <v>East</v>
      </c>
      <c r="L252" s="4" t="str">
        <f aca="false">IF(A252="","",PROPER(TRIM(D252)))</f>
        <v>Accessories</v>
      </c>
      <c r="M252" s="4" t="n">
        <f aca="false">IFERROR(VALUE(F252),0)</f>
        <v>0</v>
      </c>
      <c r="N252" s="7" t="n">
        <f aca="false">IFERROR(VALUE(SUBSTITUTE(G252,"$","")),0)</f>
        <v>36.01</v>
      </c>
      <c r="O252" s="4" t="n">
        <f aca="false">IF(A252="",0,IF(COUNTIF($A$2:A252,A252)&gt;1,1,0))</f>
        <v>0</v>
      </c>
      <c r="P252" s="4" t="n">
        <f aca="false">IF(AND(A252&lt;&gt;"",J252&lt;&gt;"",M252&gt;0,N252&gt;0,O252=0),1,0)</f>
        <v>0</v>
      </c>
      <c r="Q252" s="7" t="n">
        <f aca="false">IF(P252=1,M252*N252,0)</f>
        <v>0</v>
      </c>
    </row>
    <row r="253" customFormat="false" ht="15" hidden="false" customHeight="false" outlineLevel="0" collapsed="false">
      <c r="A253" s="4" t="n">
        <v>10700</v>
      </c>
      <c r="B253" s="4" t="s">
        <v>781</v>
      </c>
      <c r="C253" s="4" t="s">
        <v>178</v>
      </c>
      <c r="D253" s="4" t="s">
        <v>106</v>
      </c>
      <c r="E253" s="4" t="s">
        <v>65</v>
      </c>
      <c r="F253" s="4" t="n">
        <v>3</v>
      </c>
      <c r="G253" s="4" t="s">
        <v>782</v>
      </c>
      <c r="H253" s="4" t="s">
        <v>73</v>
      </c>
      <c r="I253" s="4" t="s">
        <v>783</v>
      </c>
      <c r="J253" s="6" t="n">
        <f aca="false">IFERROR(DATEVALUE(B253),"")</f>
        <v>45646</v>
      </c>
      <c r="K253" s="4" t="str">
        <f aca="false">IF(A253="","",PROPER(TRIM(C253)))</f>
        <v>South</v>
      </c>
      <c r="L253" s="4" t="str">
        <f aca="false">IF(A253="","",PROPER(TRIM(D253)))</f>
        <v>Footwear</v>
      </c>
      <c r="M253" s="4" t="n">
        <f aca="false">IFERROR(VALUE(F253),0)</f>
        <v>3</v>
      </c>
      <c r="N253" s="7" t="n">
        <f aca="false">IFERROR(VALUE(SUBSTITUTE(G253,"$","")),0)</f>
        <v>61.71</v>
      </c>
      <c r="O253" s="4" t="n">
        <f aca="false">IF(A253="",0,IF(COUNTIF($A$2:A253,A253)&gt;1,1,0))</f>
        <v>0</v>
      </c>
      <c r="P253" s="4" t="n">
        <f aca="false">IF(AND(A253&lt;&gt;"",J253&lt;&gt;"",M253&gt;0,N253&gt;0,O253=0),1,0)</f>
        <v>1</v>
      </c>
      <c r="Q253" s="7" t="n">
        <f aca="false">IF(P253=1,M253*N253,0)</f>
        <v>185.13</v>
      </c>
    </row>
    <row r="254" customFormat="false" ht="15" hidden="false" customHeight="false" outlineLevel="0" collapsed="false">
      <c r="A254" s="4" t="n">
        <v>10704</v>
      </c>
      <c r="B254" s="4" t="s">
        <v>784</v>
      </c>
      <c r="C254" s="4" t="s">
        <v>178</v>
      </c>
      <c r="D254" s="4" t="s">
        <v>179</v>
      </c>
      <c r="E254" s="4" t="s">
        <v>188</v>
      </c>
      <c r="F254" s="4" t="n">
        <v>1</v>
      </c>
      <c r="G254" s="4" t="s">
        <v>785</v>
      </c>
      <c r="H254" s="4" t="s">
        <v>54</v>
      </c>
      <c r="I254" s="4" t="s">
        <v>786</v>
      </c>
      <c r="J254" s="6" t="n">
        <f aca="false">IFERROR(DATEVALUE(B254),"")</f>
        <v>45377</v>
      </c>
      <c r="K254" s="4" t="str">
        <f aca="false">IF(A254="","",PROPER(TRIM(C254)))</f>
        <v>South</v>
      </c>
      <c r="L254" s="4" t="str">
        <f aca="false">IF(A254="","",PROPER(TRIM(D254)))</f>
        <v>Climbing Gear</v>
      </c>
      <c r="M254" s="4" t="n">
        <f aca="false">IFERROR(VALUE(F254),0)</f>
        <v>1</v>
      </c>
      <c r="N254" s="7" t="n">
        <f aca="false">IFERROR(VALUE(SUBSTITUTE(G254,"$","")),0)</f>
        <v>20.98</v>
      </c>
      <c r="O254" s="4" t="n">
        <f aca="false">IF(A254="",0,IF(COUNTIF($A$2:A254,A254)&gt;1,1,0))</f>
        <v>0</v>
      </c>
      <c r="P254" s="4" t="n">
        <f aca="false">IF(AND(A254&lt;&gt;"",J254&lt;&gt;"",M254&gt;0,N254&gt;0,O254=0),1,0)</f>
        <v>1</v>
      </c>
      <c r="Q254" s="7" t="n">
        <f aca="false">IF(P254=1,M254*N254,0)</f>
        <v>20.98</v>
      </c>
    </row>
    <row r="255" customFormat="false" ht="15" hidden="false" customHeight="false" outlineLevel="0" collapsed="false">
      <c r="A255" s="4" t="n">
        <v>10042</v>
      </c>
      <c r="B255" s="4" t="s">
        <v>787</v>
      </c>
      <c r="C255" s="4" t="s">
        <v>105</v>
      </c>
      <c r="D255" s="4" t="s">
        <v>387</v>
      </c>
      <c r="E255" s="4" t="s">
        <v>203</v>
      </c>
      <c r="F255" s="4" t="n">
        <v>4</v>
      </c>
      <c r="G255" s="4" t="s">
        <v>788</v>
      </c>
      <c r="H255" s="4" t="s">
        <v>54</v>
      </c>
      <c r="I255" s="4" t="s">
        <v>789</v>
      </c>
      <c r="J255" s="6" t="n">
        <f aca="false">IFERROR(DATEVALUE(B255),"")</f>
        <v>45344</v>
      </c>
      <c r="K255" s="4" t="str">
        <f aca="false">IF(A255="","",PROPER(TRIM(C255)))</f>
        <v>Midwest</v>
      </c>
      <c r="L255" s="4" t="str">
        <f aca="false">IF(A255="","",PROPER(TRIM(D255)))</f>
        <v>Camping Gear</v>
      </c>
      <c r="M255" s="4" t="n">
        <f aca="false">IFERROR(VALUE(F255),0)</f>
        <v>4</v>
      </c>
      <c r="N255" s="7" t="n">
        <f aca="false">IFERROR(VALUE(SUBSTITUTE(G255,"$","")),0)</f>
        <v>213.43</v>
      </c>
      <c r="O255" s="4" t="n">
        <f aca="false">IF(A255="",0,IF(COUNTIF($A$2:A255,A255)&gt;1,1,0))</f>
        <v>0</v>
      </c>
      <c r="P255" s="4" t="n">
        <f aca="false">IF(AND(A255&lt;&gt;"",J255&lt;&gt;"",M255&gt;0,N255&gt;0,O255=0),1,0)</f>
        <v>1</v>
      </c>
      <c r="Q255" s="7" t="n">
        <f aca="false">IF(P255=1,M255*N255,0)</f>
        <v>853.72</v>
      </c>
    </row>
    <row r="256" customFormat="false" ht="15" hidden="false" customHeight="false" outlineLevel="0" collapsed="false">
      <c r="A256" s="4" t="n">
        <v>10677</v>
      </c>
      <c r="B256" s="4" t="s">
        <v>790</v>
      </c>
      <c r="C256" s="4" t="s">
        <v>149</v>
      </c>
      <c r="D256" s="4" t="s">
        <v>217</v>
      </c>
      <c r="E256" s="4" t="s">
        <v>116</v>
      </c>
      <c r="F256" s="4" t="n">
        <v>2</v>
      </c>
      <c r="G256" s="4" t="s">
        <v>791</v>
      </c>
      <c r="H256" s="4" t="s">
        <v>54</v>
      </c>
      <c r="I256" s="4" t="s">
        <v>792</v>
      </c>
      <c r="J256" s="6" t="n">
        <f aca="false">IFERROR(DATEVALUE(B256),"")</f>
        <v>45401</v>
      </c>
      <c r="K256" s="4" t="str">
        <f aca="false">IF(A256="","",PROPER(TRIM(C256)))</f>
        <v>East</v>
      </c>
      <c r="L256" s="4" t="str">
        <f aca="false">IF(A256="","",PROPER(TRIM(D256)))</f>
        <v>Apparel</v>
      </c>
      <c r="M256" s="4" t="n">
        <f aca="false">IFERROR(VALUE(F256),0)</f>
        <v>2</v>
      </c>
      <c r="N256" s="7" t="n">
        <f aca="false">IFERROR(VALUE(SUBSTITUTE(G256,"$","")),0)</f>
        <v>79.36</v>
      </c>
      <c r="O256" s="4" t="n">
        <f aca="false">IF(A256="",0,IF(COUNTIF($A$2:A256,A256)&gt;1,1,0))</f>
        <v>0</v>
      </c>
      <c r="P256" s="4" t="n">
        <f aca="false">IF(AND(A256&lt;&gt;"",J256&lt;&gt;"",M256&gt;0,N256&gt;0,O256=0),1,0)</f>
        <v>1</v>
      </c>
      <c r="Q256" s="7" t="n">
        <f aca="false">IF(P256=1,M256*N256,0)</f>
        <v>158.72</v>
      </c>
    </row>
    <row r="257" customFormat="false" ht="15" hidden="false" customHeight="false" outlineLevel="0" collapsed="false">
      <c r="A257" s="4" t="n">
        <v>10314</v>
      </c>
      <c r="B257" s="4" t="s">
        <v>793</v>
      </c>
      <c r="C257" s="4" t="s">
        <v>120</v>
      </c>
      <c r="D257" s="4" t="s">
        <v>179</v>
      </c>
      <c r="E257" s="4" t="s">
        <v>188</v>
      </c>
      <c r="F257" s="4" t="n">
        <v>3</v>
      </c>
      <c r="G257" s="4" t="s">
        <v>794</v>
      </c>
      <c r="H257" s="4" t="s">
        <v>73</v>
      </c>
      <c r="I257" s="4" t="s">
        <v>795</v>
      </c>
      <c r="J257" s="6" t="n">
        <f aca="false">IFERROR(DATEVALUE(B257),"")</f>
        <v>45309</v>
      </c>
      <c r="K257" s="4" t="str">
        <f aca="false">IF(A257="","",PROPER(TRIM(C257)))</f>
        <v>East</v>
      </c>
      <c r="L257" s="4" t="str">
        <f aca="false">IF(A257="","",PROPER(TRIM(D257)))</f>
        <v>Climbing Gear</v>
      </c>
      <c r="M257" s="4" t="n">
        <f aca="false">IFERROR(VALUE(F257),0)</f>
        <v>3</v>
      </c>
      <c r="N257" s="7" t="n">
        <f aca="false">IFERROR(VALUE(SUBSTITUTE(G257,"$","")),0)</f>
        <v>19.47</v>
      </c>
      <c r="O257" s="4" t="n">
        <f aca="false">IF(A257="",0,IF(COUNTIF($A$2:A257,A257)&gt;1,1,0))</f>
        <v>0</v>
      </c>
      <c r="P257" s="4" t="n">
        <f aca="false">IF(AND(A257&lt;&gt;"",J257&lt;&gt;"",M257&gt;0,N257&gt;0,O257=0),1,0)</f>
        <v>1</v>
      </c>
      <c r="Q257" s="7" t="n">
        <f aca="false">IF(P257=1,M257*N257,0)</f>
        <v>58.41</v>
      </c>
    </row>
    <row r="258" customFormat="false" ht="15" hidden="false" customHeight="false" outlineLevel="0" collapsed="false">
      <c r="A258" s="4" t="n">
        <v>10066</v>
      </c>
      <c r="B258" s="4" t="s">
        <v>796</v>
      </c>
      <c r="C258" s="4" t="s">
        <v>50</v>
      </c>
      <c r="D258" s="4" t="s">
        <v>230</v>
      </c>
      <c r="E258" s="4" t="s">
        <v>116</v>
      </c>
      <c r="F258" s="4" t="n">
        <v>1</v>
      </c>
      <c r="G258" s="4" t="s">
        <v>797</v>
      </c>
      <c r="H258" s="4" t="s">
        <v>54</v>
      </c>
      <c r="I258" s="4" t="s">
        <v>323</v>
      </c>
      <c r="J258" s="6" t="n">
        <f aca="false">IFERROR(DATEVALUE(B258),"")</f>
        <v>45711</v>
      </c>
      <c r="K258" s="4" t="str">
        <f aca="false">IF(A258="","",PROPER(TRIM(C258)))</f>
        <v>Midwest</v>
      </c>
      <c r="L258" s="4" t="str">
        <f aca="false">IF(A258="","",PROPER(TRIM(D258)))</f>
        <v>Apparel</v>
      </c>
      <c r="M258" s="4" t="n">
        <f aca="false">IFERROR(VALUE(F258),0)</f>
        <v>1</v>
      </c>
      <c r="N258" s="7" t="n">
        <f aca="false">IFERROR(VALUE(SUBSTITUTE(G258,"$","")),0)</f>
        <v>75.16</v>
      </c>
      <c r="O258" s="4" t="n">
        <f aca="false">IF(A258="",0,IF(COUNTIF($A$2:A258,A258)&gt;1,1,0))</f>
        <v>0</v>
      </c>
      <c r="P258" s="4" t="n">
        <f aca="false">IF(AND(A258&lt;&gt;"",J258&lt;&gt;"",M258&gt;0,N258&gt;0,O258=0),1,0)</f>
        <v>1</v>
      </c>
      <c r="Q258" s="7" t="n">
        <f aca="false">IF(P258=1,M258*N258,0)</f>
        <v>75.16</v>
      </c>
    </row>
    <row r="259" customFormat="false" ht="15" hidden="false" customHeight="false" outlineLevel="0" collapsed="false">
      <c r="A259" s="4" t="n">
        <v>10638</v>
      </c>
      <c r="B259" s="4" t="s">
        <v>79</v>
      </c>
      <c r="C259" s="4" t="s">
        <v>229</v>
      </c>
      <c r="D259" s="4" t="s">
        <v>230</v>
      </c>
      <c r="E259" s="4" t="s">
        <v>116</v>
      </c>
      <c r="F259" s="4" t="n">
        <v>1</v>
      </c>
      <c r="G259" s="4" t="s">
        <v>798</v>
      </c>
      <c r="H259" s="4" t="s">
        <v>73</v>
      </c>
      <c r="I259" s="4" t="s">
        <v>222</v>
      </c>
      <c r="J259" s="6" t="n">
        <f aca="false">IFERROR(DATEVALUE(B259),"")</f>
        <v>45568</v>
      </c>
      <c r="K259" s="4" t="str">
        <f aca="false">IF(A259="","",PROPER(TRIM(C259)))</f>
        <v>Midwest</v>
      </c>
      <c r="L259" s="4" t="str">
        <f aca="false">IF(A259="","",PROPER(TRIM(D259)))</f>
        <v>Apparel</v>
      </c>
      <c r="M259" s="4" t="n">
        <f aca="false">IFERROR(VALUE(F259),0)</f>
        <v>1</v>
      </c>
      <c r="N259" s="7" t="n">
        <f aca="false">IFERROR(VALUE(SUBSTITUTE(G259,"$","")),0)</f>
        <v>69.67</v>
      </c>
      <c r="O259" s="4" t="n">
        <f aca="false">IF(A259="",0,IF(COUNTIF($A$2:A259,A259)&gt;1,1,0))</f>
        <v>0</v>
      </c>
      <c r="P259" s="4" t="n">
        <f aca="false">IF(AND(A259&lt;&gt;"",J259&lt;&gt;"",M259&gt;0,N259&gt;0,O259=0),1,0)</f>
        <v>1</v>
      </c>
      <c r="Q259" s="7" t="n">
        <f aca="false">IF(P259=1,M259*N259,0)</f>
        <v>69.67</v>
      </c>
    </row>
    <row r="260" customFormat="false" ht="15" hidden="false" customHeight="false" outlineLevel="0" collapsed="false">
      <c r="A260" s="4" t="n">
        <v>10678</v>
      </c>
      <c r="B260" s="4" t="s">
        <v>799</v>
      </c>
      <c r="C260" s="4" t="s">
        <v>93</v>
      </c>
      <c r="D260" s="4" t="s">
        <v>101</v>
      </c>
      <c r="E260" s="4" t="s">
        <v>52</v>
      </c>
      <c r="F260" s="4" t="n">
        <v>2</v>
      </c>
      <c r="G260" s="4" t="s">
        <v>800</v>
      </c>
      <c r="H260" s="4" t="s">
        <v>54</v>
      </c>
      <c r="I260" s="4" t="s">
        <v>238</v>
      </c>
      <c r="J260" s="6" t="n">
        <f aca="false">IFERROR(DATEVALUE(B260),"")</f>
        <v>45690</v>
      </c>
      <c r="K260" s="4" t="str">
        <f aca="false">IF(A260="","",PROPER(TRIM(C260)))</f>
        <v>West</v>
      </c>
      <c r="L260" s="4" t="str">
        <f aca="false">IF(A260="","",PROPER(TRIM(D260)))</f>
        <v>Accessories</v>
      </c>
      <c r="M260" s="4" t="n">
        <f aca="false">IFERROR(VALUE(F260),0)</f>
        <v>2</v>
      </c>
      <c r="N260" s="7" t="n">
        <f aca="false">IFERROR(VALUE(SUBSTITUTE(G260,"$","")),0)</f>
        <v>93.7</v>
      </c>
      <c r="O260" s="4" t="n">
        <f aca="false">IF(A260="",0,IF(COUNTIF($A$2:A260,A260)&gt;1,1,0))</f>
        <v>0</v>
      </c>
      <c r="P260" s="4" t="n">
        <f aca="false">IF(AND(A260&lt;&gt;"",J260&lt;&gt;"",M260&gt;0,N260&gt;0,O260=0),1,0)</f>
        <v>1</v>
      </c>
      <c r="Q260" s="7" t="n">
        <f aca="false">IF(P260=1,M260*N260,0)</f>
        <v>187.4</v>
      </c>
    </row>
    <row r="261" customFormat="false" ht="15" hidden="false" customHeight="false" outlineLevel="0" collapsed="false">
      <c r="A261" s="4" t="n">
        <v>10501</v>
      </c>
      <c r="B261" s="4" t="s">
        <v>84</v>
      </c>
      <c r="C261" s="4" t="s">
        <v>50</v>
      </c>
      <c r="D261" s="4" t="s">
        <v>81</v>
      </c>
      <c r="E261" s="4" t="s">
        <v>65</v>
      </c>
      <c r="F261" s="4" t="n">
        <v>1</v>
      </c>
      <c r="G261" s="4" t="s">
        <v>85</v>
      </c>
      <c r="H261" s="4" t="s">
        <v>47</v>
      </c>
      <c r="I261" s="4" t="s">
        <v>86</v>
      </c>
      <c r="J261" s="6" t="n">
        <f aca="false">IFERROR(DATEVALUE(B261),"")</f>
        <v>45594</v>
      </c>
      <c r="K261" s="4" t="str">
        <f aca="false">IF(A261="","",PROPER(TRIM(C261)))</f>
        <v>Midwest</v>
      </c>
      <c r="L261" s="4" t="str">
        <f aca="false">IF(A261="","",PROPER(TRIM(D261)))</f>
        <v>Footwear</v>
      </c>
      <c r="M261" s="4" t="n">
        <f aca="false">IFERROR(VALUE(F261),0)</f>
        <v>1</v>
      </c>
      <c r="N261" s="7" t="n">
        <f aca="false">IFERROR(VALUE(SUBSTITUTE(G261,"$","")),0)</f>
        <v>55.22</v>
      </c>
      <c r="O261" s="4" t="n">
        <f aca="false">IF(A261="",0,IF(COUNTIF($A$2:A261,A261)&gt;1,1,0))</f>
        <v>1</v>
      </c>
      <c r="P261" s="4" t="n">
        <f aca="false">IF(AND(A261&lt;&gt;"",J261&lt;&gt;"",M261&gt;0,N261&gt;0,O261=0),1,0)</f>
        <v>0</v>
      </c>
      <c r="Q261" s="7" t="n">
        <f aca="false">IF(P261=1,M261*N261,0)</f>
        <v>0</v>
      </c>
    </row>
    <row r="262" customFormat="false" ht="15" hidden="false" customHeight="false" outlineLevel="0" collapsed="false">
      <c r="A262" s="4" t="n">
        <v>10701</v>
      </c>
      <c r="B262" s="4" t="s">
        <v>194</v>
      </c>
      <c r="C262" s="4" t="s">
        <v>43</v>
      </c>
      <c r="D262" s="4" t="s">
        <v>129</v>
      </c>
      <c r="E262" s="4" t="s">
        <v>125</v>
      </c>
      <c r="F262" s="4" t="n">
        <v>2</v>
      </c>
      <c r="G262" s="4" t="s">
        <v>801</v>
      </c>
      <c r="H262" s="4" t="s">
        <v>73</v>
      </c>
      <c r="I262" s="4" t="s">
        <v>802</v>
      </c>
      <c r="J262" s="6" t="n">
        <f aca="false">IFERROR(DATEVALUE(B262),"")</f>
        <v>45305</v>
      </c>
      <c r="K262" s="4" t="str">
        <f aca="false">IF(A262="","",PROPER(TRIM(C262)))</f>
        <v>South</v>
      </c>
      <c r="L262" s="4" t="str">
        <f aca="false">IF(A262="","",PROPER(TRIM(D262)))</f>
        <v>Climbing Gear</v>
      </c>
      <c r="M262" s="4" t="n">
        <f aca="false">IFERROR(VALUE(F262),0)</f>
        <v>2</v>
      </c>
      <c r="N262" s="7" t="n">
        <f aca="false">IFERROR(VALUE(SUBSTITUTE(G262,"$","")),0)</f>
        <v>88.22</v>
      </c>
      <c r="O262" s="4" t="n">
        <f aca="false">IF(A262="",0,IF(COUNTIF($A$2:A262,A262)&gt;1,1,0))</f>
        <v>0</v>
      </c>
      <c r="P262" s="4" t="n">
        <f aca="false">IF(AND(A262&lt;&gt;"",J262&lt;&gt;"",M262&gt;0,N262&gt;0,O262=0),1,0)</f>
        <v>1</v>
      </c>
      <c r="Q262" s="7" t="n">
        <f aca="false">IF(P262=1,M262*N262,0)</f>
        <v>176.44</v>
      </c>
    </row>
    <row r="263" customFormat="false" ht="15" hidden="false" customHeight="false" outlineLevel="0" collapsed="false">
      <c r="A263" s="4" t="n">
        <v>10554</v>
      </c>
      <c r="B263" s="4" t="s">
        <v>803</v>
      </c>
      <c r="C263" s="4" t="s">
        <v>110</v>
      </c>
      <c r="D263" s="4" t="s">
        <v>179</v>
      </c>
      <c r="E263" s="4" t="s">
        <v>188</v>
      </c>
      <c r="F263" s="4" t="n">
        <v>1</v>
      </c>
      <c r="G263" s="4" t="s">
        <v>804</v>
      </c>
      <c r="H263" s="4" t="s">
        <v>73</v>
      </c>
      <c r="I263" s="4" t="s">
        <v>310</v>
      </c>
      <c r="J263" s="6" t="n">
        <f aca="false">IFERROR(DATEVALUE(B263),"")</f>
        <v>45314</v>
      </c>
      <c r="K263" s="4" t="str">
        <f aca="false">IF(A263="","",PROPER(TRIM(C263)))</f>
        <v>Midwest</v>
      </c>
      <c r="L263" s="4" t="str">
        <f aca="false">IF(A263="","",PROPER(TRIM(D263)))</f>
        <v>Climbing Gear</v>
      </c>
      <c r="M263" s="4" t="n">
        <f aca="false">IFERROR(VALUE(F263),0)</f>
        <v>1</v>
      </c>
      <c r="N263" s="7" t="n">
        <f aca="false">IFERROR(VALUE(SUBSTITUTE(G263,"$","")),0)</f>
        <v>18.63</v>
      </c>
      <c r="O263" s="4" t="n">
        <f aca="false">IF(A263="",0,IF(COUNTIF($A$2:A263,A263)&gt;1,1,0))</f>
        <v>0</v>
      </c>
      <c r="P263" s="4" t="n">
        <f aca="false">IF(AND(A263&lt;&gt;"",J263&lt;&gt;"",M263&gt;0,N263&gt;0,O263=0),1,0)</f>
        <v>1</v>
      </c>
      <c r="Q263" s="7" t="n">
        <f aca="false">IF(P263=1,M263*N263,0)</f>
        <v>18.63</v>
      </c>
    </row>
    <row r="264" customFormat="false" ht="15" hidden="false" customHeight="false" outlineLevel="0" collapsed="false">
      <c r="A264" s="4" t="n">
        <v>10170</v>
      </c>
      <c r="B264" s="4" t="s">
        <v>805</v>
      </c>
      <c r="C264" s="4" t="s">
        <v>93</v>
      </c>
      <c r="D264" s="4" t="s">
        <v>575</v>
      </c>
      <c r="E264" s="4" t="s">
        <v>45</v>
      </c>
      <c r="F264" s="4" t="n">
        <v>1</v>
      </c>
      <c r="G264" s="4" t="s">
        <v>806</v>
      </c>
      <c r="H264" s="4" t="s">
        <v>73</v>
      </c>
      <c r="I264" s="4" t="s">
        <v>153</v>
      </c>
      <c r="J264" s="6" t="n">
        <f aca="false">IFERROR(DATEVALUE(B264),"")</f>
        <v>45405</v>
      </c>
      <c r="K264" s="4" t="str">
        <f aca="false">IF(A264="","",PROPER(TRIM(C264)))</f>
        <v>West</v>
      </c>
      <c r="L264" s="4" t="str">
        <f aca="false">IF(A264="","",PROPER(TRIM(D264)))</f>
        <v>Accessories</v>
      </c>
      <c r="M264" s="4" t="n">
        <f aca="false">IFERROR(VALUE(F264),0)</f>
        <v>1</v>
      </c>
      <c r="N264" s="7" t="n">
        <f aca="false">IFERROR(VALUE(SUBSTITUTE(G264,"$","")),0)</f>
        <v>57.17</v>
      </c>
      <c r="O264" s="4" t="n">
        <f aca="false">IF(A264="",0,IF(COUNTIF($A$2:A264,A264)&gt;1,1,0))</f>
        <v>0</v>
      </c>
      <c r="P264" s="4" t="n">
        <f aca="false">IF(AND(A264&lt;&gt;"",J264&lt;&gt;"",M264&gt;0,N264&gt;0,O264=0),1,0)</f>
        <v>1</v>
      </c>
      <c r="Q264" s="7" t="n">
        <f aca="false">IF(P264=1,M264*N264,0)</f>
        <v>57.17</v>
      </c>
    </row>
    <row r="265" customFormat="false" ht="15" hidden="false" customHeight="false" outlineLevel="0" collapsed="false">
      <c r="A265" s="4" t="n">
        <v>10684</v>
      </c>
      <c r="B265" s="4" t="s">
        <v>807</v>
      </c>
      <c r="C265" s="4" t="s">
        <v>120</v>
      </c>
      <c r="D265" s="4" t="s">
        <v>387</v>
      </c>
      <c r="E265" s="4" t="s">
        <v>251</v>
      </c>
      <c r="F265" s="4" t="n">
        <v>2</v>
      </c>
      <c r="G265" s="4" t="s">
        <v>808</v>
      </c>
      <c r="H265" s="4" t="s">
        <v>73</v>
      </c>
      <c r="I265" s="4" t="s">
        <v>809</v>
      </c>
      <c r="J265" s="6" t="n">
        <f aca="false">IFERROR(DATEVALUE(B265),"")</f>
        <v>45478</v>
      </c>
      <c r="K265" s="4" t="str">
        <f aca="false">IF(A265="","",PROPER(TRIM(C265)))</f>
        <v>East</v>
      </c>
      <c r="L265" s="4" t="str">
        <f aca="false">IF(A265="","",PROPER(TRIM(D265)))</f>
        <v>Camping Gear</v>
      </c>
      <c r="M265" s="4" t="n">
        <f aca="false">IFERROR(VALUE(F265),0)</f>
        <v>2</v>
      </c>
      <c r="N265" s="7" t="n">
        <f aca="false">IFERROR(VALUE(SUBSTITUTE(G265,"$","")),0)</f>
        <v>74.61</v>
      </c>
      <c r="O265" s="4" t="n">
        <f aca="false">IF(A265="",0,IF(COUNTIF($A$2:A265,A265)&gt;1,1,0))</f>
        <v>0</v>
      </c>
      <c r="P265" s="4" t="n">
        <f aca="false">IF(AND(A265&lt;&gt;"",J265&lt;&gt;"",M265&gt;0,N265&gt;0,O265=0),1,0)</f>
        <v>1</v>
      </c>
      <c r="Q265" s="7" t="n">
        <f aca="false">IF(P265=1,M265*N265,0)</f>
        <v>149.22</v>
      </c>
    </row>
    <row r="266" customFormat="false" ht="15" hidden="false" customHeight="false" outlineLevel="0" collapsed="false">
      <c r="A266" s="4" t="n">
        <v>10617</v>
      </c>
      <c r="B266" s="4" t="s">
        <v>104</v>
      </c>
      <c r="C266" s="4" t="s">
        <v>93</v>
      </c>
      <c r="D266" s="4" t="s">
        <v>387</v>
      </c>
      <c r="E266" s="4" t="s">
        <v>203</v>
      </c>
      <c r="F266" s="4" t="n">
        <v>-1</v>
      </c>
      <c r="G266" s="4" t="s">
        <v>810</v>
      </c>
      <c r="H266" s="4" t="s">
        <v>54</v>
      </c>
      <c r="I266" s="4" t="s">
        <v>811</v>
      </c>
      <c r="J266" s="6" t="n">
        <f aca="false">IFERROR(DATEVALUE(B266),"")</f>
        <v>45372</v>
      </c>
      <c r="K266" s="4" t="str">
        <f aca="false">IF(A266="","",PROPER(TRIM(C266)))</f>
        <v>West</v>
      </c>
      <c r="L266" s="4" t="str">
        <f aca="false">IF(A266="","",PROPER(TRIM(D266)))</f>
        <v>Camping Gear</v>
      </c>
      <c r="M266" s="4" t="n">
        <f aca="false">IFERROR(VALUE(F266),0)</f>
        <v>-1</v>
      </c>
      <c r="N266" s="7" t="n">
        <f aca="false">IFERROR(VALUE(SUBSTITUTE(G266,"$","")),0)</f>
        <v>231.14</v>
      </c>
      <c r="O266" s="4" t="n">
        <f aca="false">IF(A266="",0,IF(COUNTIF($A$2:A266,A266)&gt;1,1,0))</f>
        <v>0</v>
      </c>
      <c r="P266" s="4" t="n">
        <f aca="false">IF(AND(A266&lt;&gt;"",J266&lt;&gt;"",M266&gt;0,N266&gt;0,O266=0),1,0)</f>
        <v>0</v>
      </c>
      <c r="Q266" s="7" t="n">
        <f aca="false">IF(P266=1,M266*N266,0)</f>
        <v>0</v>
      </c>
    </row>
    <row r="267" customFormat="false" ht="15" hidden="false" customHeight="false" outlineLevel="0" collapsed="false">
      <c r="A267" s="4" t="n">
        <v>10539</v>
      </c>
      <c r="B267" s="4" t="s">
        <v>812</v>
      </c>
      <c r="C267" s="4" t="s">
        <v>229</v>
      </c>
      <c r="D267" s="4" t="s">
        <v>70</v>
      </c>
      <c r="E267" s="4" t="s">
        <v>203</v>
      </c>
      <c r="F267" s="4" t="n">
        <v>1</v>
      </c>
      <c r="G267" s="4" t="s">
        <v>813</v>
      </c>
      <c r="H267" s="4" t="s">
        <v>73</v>
      </c>
      <c r="I267" s="4" t="s">
        <v>814</v>
      </c>
      <c r="J267" s="6" t="n">
        <f aca="false">IFERROR(DATEVALUE(B267),"")</f>
        <v>45340</v>
      </c>
      <c r="K267" s="4" t="str">
        <f aca="false">IF(A267="","",PROPER(TRIM(C267)))</f>
        <v>Midwest</v>
      </c>
      <c r="L267" s="4" t="str">
        <f aca="false">IF(A267="","",PROPER(TRIM(D267)))</f>
        <v>Camping Gear</v>
      </c>
      <c r="M267" s="4" t="n">
        <f aca="false">IFERROR(VALUE(F267),0)</f>
        <v>1</v>
      </c>
      <c r="N267" s="7" t="n">
        <f aca="false">IFERROR(VALUE(SUBSTITUTE(G267,"$","")),0)</f>
        <v>210.94</v>
      </c>
      <c r="O267" s="4" t="n">
        <f aca="false">IF(A267="",0,IF(COUNTIF($A$2:A267,A267)&gt;1,1,0))</f>
        <v>0</v>
      </c>
      <c r="P267" s="4" t="n">
        <f aca="false">IF(AND(A267&lt;&gt;"",J267&lt;&gt;"",M267&gt;0,N267&gt;0,O267=0),1,0)</f>
        <v>1</v>
      </c>
      <c r="Q267" s="7" t="n">
        <f aca="false">IF(P267=1,M267*N267,0)</f>
        <v>210.94</v>
      </c>
    </row>
    <row r="268" customFormat="false" ht="15" hidden="false" customHeight="false" outlineLevel="0" collapsed="false">
      <c r="A268" s="4" t="n">
        <v>10253</v>
      </c>
      <c r="B268" s="4" t="s">
        <v>386</v>
      </c>
      <c r="C268" s="4" t="s">
        <v>178</v>
      </c>
      <c r="D268" s="4" t="s">
        <v>101</v>
      </c>
      <c r="E268" s="4" t="s">
        <v>160</v>
      </c>
      <c r="F268" s="4" t="n">
        <v>2</v>
      </c>
      <c r="G268" s="4" t="s">
        <v>815</v>
      </c>
      <c r="H268" s="4" t="s">
        <v>47</v>
      </c>
      <c r="I268" s="4" t="s">
        <v>816</v>
      </c>
      <c r="J268" s="6" t="str">
        <f aca="false">IFERROR(DATEVALUE(B268),"")</f>
        <v/>
      </c>
      <c r="K268" s="4" t="str">
        <f aca="false">IF(A268="","",PROPER(TRIM(C268)))</f>
        <v>South</v>
      </c>
      <c r="L268" s="4" t="str">
        <f aca="false">IF(A268="","",PROPER(TRIM(D268)))</f>
        <v>Accessories</v>
      </c>
      <c r="M268" s="4" t="n">
        <f aca="false">IFERROR(VALUE(F268),0)</f>
        <v>2</v>
      </c>
      <c r="N268" s="7" t="n">
        <f aca="false">IFERROR(VALUE(SUBSTITUTE(G268,"$","")),0)</f>
        <v>23.33</v>
      </c>
      <c r="O268" s="4" t="n">
        <f aca="false">IF(A268="",0,IF(COUNTIF($A$2:A268,A268)&gt;1,1,0))</f>
        <v>0</v>
      </c>
      <c r="P268" s="4" t="n">
        <f aca="false">IF(AND(A268&lt;&gt;"",J268&lt;&gt;"",M268&gt;0,N268&gt;0,O268=0),1,0)</f>
        <v>0</v>
      </c>
      <c r="Q268" s="7" t="n">
        <f aca="false">IF(P268=1,M268*N268,0)</f>
        <v>0</v>
      </c>
    </row>
    <row r="269" customFormat="false" ht="15" hidden="false" customHeight="false" outlineLevel="0" collapsed="false">
      <c r="A269" s="4" t="n">
        <v>10685</v>
      </c>
      <c r="B269" s="4" t="s">
        <v>817</v>
      </c>
      <c r="C269" s="4" t="s">
        <v>133</v>
      </c>
      <c r="D269" s="4" t="s">
        <v>101</v>
      </c>
      <c r="E269" s="4" t="s">
        <v>45</v>
      </c>
      <c r="F269" s="4" t="n">
        <v>3</v>
      </c>
      <c r="G269" s="4" t="s">
        <v>818</v>
      </c>
      <c r="H269" s="4" t="s">
        <v>54</v>
      </c>
      <c r="I269" s="4" t="s">
        <v>819</v>
      </c>
      <c r="J269" s="6" t="n">
        <f aca="false">IFERROR(DATEVALUE(B269),"")</f>
        <v>45313</v>
      </c>
      <c r="K269" s="4" t="str">
        <f aca="false">IF(A269="","",PROPER(TRIM(C269)))</f>
        <v>East</v>
      </c>
      <c r="L269" s="4" t="str">
        <f aca="false">IF(A269="","",PROPER(TRIM(D269)))</f>
        <v>Accessories</v>
      </c>
      <c r="M269" s="4" t="n">
        <f aca="false">IFERROR(VALUE(F269),0)</f>
        <v>3</v>
      </c>
      <c r="N269" s="7" t="n">
        <f aca="false">IFERROR(VALUE(SUBSTITUTE(G269,"$","")),0)</f>
        <v>50.91</v>
      </c>
      <c r="O269" s="4" t="n">
        <f aca="false">IF(A269="",0,IF(COUNTIF($A$2:A269,A269)&gt;1,1,0))</f>
        <v>0</v>
      </c>
      <c r="P269" s="4" t="n">
        <f aca="false">IF(AND(A269&lt;&gt;"",J269&lt;&gt;"",M269&gt;0,N269&gt;0,O269=0),1,0)</f>
        <v>1</v>
      </c>
      <c r="Q269" s="7" t="n">
        <f aca="false">IF(P269=1,M269*N269,0)</f>
        <v>152.73</v>
      </c>
    </row>
    <row r="270" customFormat="false" ht="15" hidden="false" customHeight="false" outlineLevel="0" collapsed="false">
      <c r="A270" s="4" t="n">
        <v>10225</v>
      </c>
      <c r="B270" s="4" t="s">
        <v>820</v>
      </c>
      <c r="C270" s="4" t="s">
        <v>140</v>
      </c>
      <c r="D270" s="4" t="s">
        <v>81</v>
      </c>
      <c r="E270" s="4" t="s">
        <v>77</v>
      </c>
      <c r="F270" s="4" t="n">
        <v>3</v>
      </c>
      <c r="G270" s="4" t="s">
        <v>821</v>
      </c>
      <c r="H270" s="4" t="s">
        <v>54</v>
      </c>
      <c r="I270" s="4" t="s">
        <v>96</v>
      </c>
      <c r="J270" s="6" t="n">
        <f aca="false">IFERROR(DATEVALUE(B270),"")</f>
        <v>45765</v>
      </c>
      <c r="K270" s="4" t="str">
        <f aca="false">IF(A270="","",PROPER(TRIM(C270)))</f>
        <v>South</v>
      </c>
      <c r="L270" s="4" t="str">
        <f aca="false">IF(A270="","",PROPER(TRIM(D270)))</f>
        <v>Footwear</v>
      </c>
      <c r="M270" s="4" t="n">
        <f aca="false">IFERROR(VALUE(F270),0)</f>
        <v>3</v>
      </c>
      <c r="N270" s="7" t="n">
        <f aca="false">IFERROR(VALUE(SUBSTITUTE(G270,"$","")),0)</f>
        <v>136.25</v>
      </c>
      <c r="O270" s="4" t="n">
        <f aca="false">IF(A270="",0,IF(COUNTIF($A$2:A270,A270)&gt;1,1,0))</f>
        <v>0</v>
      </c>
      <c r="P270" s="4" t="n">
        <f aca="false">IF(AND(A270&lt;&gt;"",J270&lt;&gt;"",M270&gt;0,N270&gt;0,O270=0),1,0)</f>
        <v>1</v>
      </c>
      <c r="Q270" s="7" t="n">
        <f aca="false">IF(P270=1,M270*N270,0)</f>
        <v>408.75</v>
      </c>
    </row>
    <row r="271" customFormat="false" ht="15" hidden="false" customHeight="false" outlineLevel="0" collapsed="false">
      <c r="A271" s="4" t="n">
        <v>10435</v>
      </c>
      <c r="B271" s="4" t="s">
        <v>822</v>
      </c>
      <c r="C271" s="4" t="s">
        <v>178</v>
      </c>
      <c r="D271" s="4" t="s">
        <v>129</v>
      </c>
      <c r="E271" s="4" t="s">
        <v>188</v>
      </c>
      <c r="F271" s="4" t="n">
        <v>3</v>
      </c>
      <c r="G271" s="4" t="s">
        <v>823</v>
      </c>
      <c r="H271" s="4" t="s">
        <v>47</v>
      </c>
      <c r="I271" s="4" t="s">
        <v>248</v>
      </c>
      <c r="J271" s="6" t="n">
        <f aca="false">IFERROR(DATEVALUE(B271),"")</f>
        <v>45449</v>
      </c>
      <c r="K271" s="4" t="str">
        <f aca="false">IF(A271="","",PROPER(TRIM(C271)))</f>
        <v>South</v>
      </c>
      <c r="L271" s="4" t="str">
        <f aca="false">IF(A271="","",PROPER(TRIM(D271)))</f>
        <v>Climbing Gear</v>
      </c>
      <c r="M271" s="4" t="n">
        <f aca="false">IFERROR(VALUE(F271),0)</f>
        <v>3</v>
      </c>
      <c r="N271" s="7" t="n">
        <f aca="false">IFERROR(VALUE(SUBSTITUTE(G271,"$","")),0)</f>
        <v>22.75</v>
      </c>
      <c r="O271" s="4" t="n">
        <f aca="false">IF(A271="",0,IF(COUNTIF($A$2:A271,A271)&gt;1,1,0))</f>
        <v>0</v>
      </c>
      <c r="P271" s="4" t="n">
        <f aca="false">IF(AND(A271&lt;&gt;"",J271&lt;&gt;"",M271&gt;0,N271&gt;0,O271=0),1,0)</f>
        <v>1</v>
      </c>
      <c r="Q271" s="7" t="n">
        <f aca="false">IF(P271=1,M271*N271,0)</f>
        <v>68.25</v>
      </c>
    </row>
    <row r="272" customFormat="false" ht="15" hidden="false" customHeight="false" outlineLevel="0" collapsed="false">
      <c r="A272" s="4" t="n">
        <v>10323</v>
      </c>
      <c r="B272" s="4" t="s">
        <v>824</v>
      </c>
      <c r="C272" s="4" t="s">
        <v>50</v>
      </c>
      <c r="D272" s="4" t="s">
        <v>58</v>
      </c>
      <c r="E272" s="4" t="s">
        <v>125</v>
      </c>
      <c r="F272" s="4" t="n">
        <v>1</v>
      </c>
      <c r="G272" s="4" t="s">
        <v>825</v>
      </c>
      <c r="H272" s="4" t="s">
        <v>47</v>
      </c>
      <c r="I272" s="4" t="s">
        <v>169</v>
      </c>
      <c r="J272" s="6" t="n">
        <f aca="false">IFERROR(DATEVALUE(B272),"")</f>
        <v>45817</v>
      </c>
      <c r="K272" s="4" t="str">
        <f aca="false">IF(A272="","",PROPER(TRIM(C272)))</f>
        <v>Midwest</v>
      </c>
      <c r="L272" s="4" t="str">
        <f aca="false">IF(A272="","",PROPER(TRIM(D272)))</f>
        <v>Climbing Gear</v>
      </c>
      <c r="M272" s="4" t="n">
        <f aca="false">IFERROR(VALUE(F272),0)</f>
        <v>1</v>
      </c>
      <c r="N272" s="7" t="n">
        <f aca="false">IFERROR(VALUE(SUBSTITUTE(G272,"$","")),0)</f>
        <v>106.09</v>
      </c>
      <c r="O272" s="4" t="n">
        <f aca="false">IF(A272="",0,IF(COUNTIF($A$2:A272,A272)&gt;1,1,0))</f>
        <v>0</v>
      </c>
      <c r="P272" s="4" t="n">
        <f aca="false">IF(AND(A272&lt;&gt;"",J272&lt;&gt;"",M272&gt;0,N272&gt;0,O272=0),1,0)</f>
        <v>1</v>
      </c>
      <c r="Q272" s="7" t="n">
        <f aca="false">IF(P272=1,M272*N272,0)</f>
        <v>106.09</v>
      </c>
    </row>
    <row r="273" customFormat="false" ht="15" hidden="false" customHeight="false" outlineLevel="0" collapsed="false">
      <c r="A273" s="4" t="n">
        <v>10028</v>
      </c>
      <c r="B273" s="4" t="s">
        <v>826</v>
      </c>
      <c r="C273" s="4" t="s">
        <v>63</v>
      </c>
      <c r="D273" s="4" t="s">
        <v>217</v>
      </c>
      <c r="E273" s="4" t="s">
        <v>243</v>
      </c>
      <c r="F273" s="4" t="n">
        <v>1</v>
      </c>
      <c r="G273" s="4" t="s">
        <v>827</v>
      </c>
      <c r="H273" s="4" t="s">
        <v>54</v>
      </c>
      <c r="I273" s="4" t="s">
        <v>404</v>
      </c>
      <c r="J273" s="6" t="n">
        <f aca="false">IFERROR(DATEVALUE(B273),"")</f>
        <v>45498</v>
      </c>
      <c r="K273" s="4" t="str">
        <f aca="false">IF(A273="","",PROPER(TRIM(C273)))</f>
        <v>Midwest</v>
      </c>
      <c r="L273" s="4" t="str">
        <f aca="false">IF(A273="","",PROPER(TRIM(D273)))</f>
        <v>Apparel</v>
      </c>
      <c r="M273" s="4" t="n">
        <f aca="false">IFERROR(VALUE(F273),0)</f>
        <v>1</v>
      </c>
      <c r="N273" s="7" t="n">
        <f aca="false">IFERROR(VALUE(SUBSTITUTE(G273,"$","")),0)</f>
        <v>68.44</v>
      </c>
      <c r="O273" s="4" t="n">
        <f aca="false">IF(A273="",0,IF(COUNTIF($A$2:A273,A273)&gt;1,1,0))</f>
        <v>0</v>
      </c>
      <c r="P273" s="4" t="n">
        <f aca="false">IF(AND(A273&lt;&gt;"",J273&lt;&gt;"",M273&gt;0,N273&gt;0,O273=0),1,0)</f>
        <v>1</v>
      </c>
      <c r="Q273" s="7" t="n">
        <f aca="false">IF(P273=1,M273*N273,0)</f>
        <v>68.44</v>
      </c>
    </row>
    <row r="274" customFormat="false" ht="15" hidden="false" customHeight="false" outlineLevel="0" collapsed="false">
      <c r="A274" s="4" t="n">
        <v>10652</v>
      </c>
      <c r="B274" s="4" t="s">
        <v>828</v>
      </c>
      <c r="C274" s="4" t="s">
        <v>105</v>
      </c>
      <c r="D274" s="4" t="s">
        <v>129</v>
      </c>
      <c r="E274" s="4" t="s">
        <v>125</v>
      </c>
      <c r="F274" s="4" t="n">
        <v>2</v>
      </c>
      <c r="G274" s="4" t="s">
        <v>829</v>
      </c>
      <c r="H274" s="4" t="s">
        <v>47</v>
      </c>
      <c r="I274" s="4" t="s">
        <v>745</v>
      </c>
      <c r="J274" s="6" t="n">
        <f aca="false">IFERROR(DATEVALUE(B274),"")</f>
        <v>45296</v>
      </c>
      <c r="K274" s="4" t="str">
        <f aca="false">IF(A274="","",PROPER(TRIM(C274)))</f>
        <v>Midwest</v>
      </c>
      <c r="L274" s="4" t="str">
        <f aca="false">IF(A274="","",PROPER(TRIM(D274)))</f>
        <v>Climbing Gear</v>
      </c>
      <c r="M274" s="4" t="n">
        <f aca="false">IFERROR(VALUE(F274),0)</f>
        <v>2</v>
      </c>
      <c r="N274" s="7" t="n">
        <f aca="false">IFERROR(VALUE(SUBSTITUTE(G274,"$","")),0)</f>
        <v>92.15</v>
      </c>
      <c r="O274" s="4" t="n">
        <f aca="false">IF(A274="",0,IF(COUNTIF($A$2:A274,A274)&gt;1,1,0))</f>
        <v>0</v>
      </c>
      <c r="P274" s="4" t="n">
        <f aca="false">IF(AND(A274&lt;&gt;"",J274&lt;&gt;"",M274&gt;0,N274&gt;0,O274=0),1,0)</f>
        <v>1</v>
      </c>
      <c r="Q274" s="7" t="n">
        <f aca="false">IF(P274=1,M274*N274,0)</f>
        <v>184.3</v>
      </c>
    </row>
    <row r="275" customFormat="false" ht="15" hidden="false" customHeight="false" outlineLevel="0" collapsed="false">
      <c r="A275" s="4" t="n">
        <v>10261</v>
      </c>
      <c r="B275" s="4" t="s">
        <v>830</v>
      </c>
      <c r="C275" s="4" t="s">
        <v>332</v>
      </c>
      <c r="D275" s="4" t="s">
        <v>64</v>
      </c>
      <c r="E275" s="4" t="s">
        <v>77</v>
      </c>
      <c r="F275" s="4" t="n">
        <v>1</v>
      </c>
      <c r="G275" s="4" t="s">
        <v>831</v>
      </c>
      <c r="H275" s="4" t="s">
        <v>73</v>
      </c>
      <c r="I275" s="4" t="s">
        <v>832</v>
      </c>
      <c r="J275" s="6" t="n">
        <f aca="false">IFERROR(DATEVALUE(B275),"")</f>
        <v>45714</v>
      </c>
      <c r="K275" s="4" t="str">
        <f aca="false">IF(A275="","",PROPER(TRIM(C275)))</f>
        <v>West</v>
      </c>
      <c r="L275" s="4" t="str">
        <f aca="false">IF(A275="","",PROPER(TRIM(D275)))</f>
        <v>Footwear</v>
      </c>
      <c r="M275" s="4" t="n">
        <f aca="false">IFERROR(VALUE(F275),0)</f>
        <v>1</v>
      </c>
      <c r="N275" s="7" t="n">
        <f aca="false">IFERROR(VALUE(SUBSTITUTE(G275,"$","")),0)</f>
        <v>141.49</v>
      </c>
      <c r="O275" s="4" t="n">
        <f aca="false">IF(A275="",0,IF(COUNTIF($A$2:A275,A275)&gt;1,1,0))</f>
        <v>0</v>
      </c>
      <c r="P275" s="4" t="n">
        <f aca="false">IF(AND(A275&lt;&gt;"",J275&lt;&gt;"",M275&gt;0,N275&gt;0,O275=0),1,0)</f>
        <v>1</v>
      </c>
      <c r="Q275" s="7" t="n">
        <f aca="false">IF(P275=1,M275*N275,0)</f>
        <v>141.49</v>
      </c>
    </row>
    <row r="276" customFormat="false" ht="15" hidden="false" customHeight="false" outlineLevel="0" collapsed="false">
      <c r="A276" s="4" t="n">
        <v>10163</v>
      </c>
      <c r="B276" s="4" t="s">
        <v>79</v>
      </c>
      <c r="C276" s="4" t="s">
        <v>120</v>
      </c>
      <c r="D276" s="4" t="s">
        <v>217</v>
      </c>
      <c r="E276" s="4" t="s">
        <v>89</v>
      </c>
      <c r="F276" s="4" t="n">
        <v>1</v>
      </c>
      <c r="G276" s="4" t="s">
        <v>833</v>
      </c>
      <c r="H276" s="4" t="s">
        <v>54</v>
      </c>
      <c r="I276" s="4" t="s">
        <v>376</v>
      </c>
      <c r="J276" s="6" t="n">
        <f aca="false">IFERROR(DATEVALUE(B276),"")</f>
        <v>45568</v>
      </c>
      <c r="K276" s="4" t="str">
        <f aca="false">IF(A276="","",PROPER(TRIM(C276)))</f>
        <v>East</v>
      </c>
      <c r="L276" s="4" t="str">
        <f aca="false">IF(A276="","",PROPER(TRIM(D276)))</f>
        <v>Apparel</v>
      </c>
      <c r="M276" s="4" t="n">
        <f aca="false">IFERROR(VALUE(F276),0)</f>
        <v>1</v>
      </c>
      <c r="N276" s="7" t="n">
        <f aca="false">IFERROR(VALUE(SUBSTITUTE(G276,"$","")),0)</f>
        <v>55.38</v>
      </c>
      <c r="O276" s="4" t="n">
        <f aca="false">IF(A276="",0,IF(COUNTIF($A$2:A276,A276)&gt;1,1,0))</f>
        <v>0</v>
      </c>
      <c r="P276" s="4" t="n">
        <f aca="false">IF(AND(A276&lt;&gt;"",J276&lt;&gt;"",M276&gt;0,N276&gt;0,O276=0),1,0)</f>
        <v>1</v>
      </c>
      <c r="Q276" s="7" t="n">
        <f aca="false">IF(P276=1,M276*N276,0)</f>
        <v>55.38</v>
      </c>
    </row>
    <row r="277" customFormat="false" ht="15" hidden="false" customHeight="false" outlineLevel="0" collapsed="false">
      <c r="A277" s="4" t="n">
        <v>10708</v>
      </c>
      <c r="B277" s="4" t="s">
        <v>834</v>
      </c>
      <c r="C277" s="4" t="s">
        <v>155</v>
      </c>
      <c r="D277" s="4" t="s">
        <v>51</v>
      </c>
      <c r="E277" s="4" t="s">
        <v>52</v>
      </c>
      <c r="F277" s="4" t="n">
        <v>3</v>
      </c>
      <c r="G277" s="4" t="s">
        <v>835</v>
      </c>
      <c r="H277" s="4" t="s">
        <v>54</v>
      </c>
      <c r="I277" s="4" t="s">
        <v>647</v>
      </c>
      <c r="J277" s="6" t="n">
        <f aca="false">IFERROR(DATEVALUE(B277),"")</f>
        <v>45354</v>
      </c>
      <c r="K277" s="4" t="str">
        <f aca="false">IF(A277="","",PROPER(TRIM(C277)))</f>
        <v>South</v>
      </c>
      <c r="L277" s="4" t="str">
        <f aca="false">IF(A277="","",PROPER(TRIM(D277)))</f>
        <v>Accessories</v>
      </c>
      <c r="M277" s="4" t="n">
        <f aca="false">IFERROR(VALUE(F277),0)</f>
        <v>3</v>
      </c>
      <c r="N277" s="7" t="n">
        <f aca="false">IFERROR(VALUE(SUBSTITUTE(G277,"$","")),0)</f>
        <v>82.67</v>
      </c>
      <c r="O277" s="4" t="n">
        <f aca="false">IF(A277="",0,IF(COUNTIF($A$2:A277,A277)&gt;1,1,0))</f>
        <v>0</v>
      </c>
      <c r="P277" s="4" t="n">
        <f aca="false">IF(AND(A277&lt;&gt;"",J277&lt;&gt;"",M277&gt;0,N277&gt;0,O277=0),1,0)</f>
        <v>1</v>
      </c>
      <c r="Q277" s="7" t="n">
        <f aca="false">IF(P277=1,M277*N277,0)</f>
        <v>248.01</v>
      </c>
    </row>
    <row r="278" customFormat="false" ht="15" hidden="false" customHeight="false" outlineLevel="0" collapsed="false">
      <c r="A278" s="4" t="n">
        <v>10296</v>
      </c>
      <c r="B278" s="4" t="s">
        <v>486</v>
      </c>
      <c r="C278" s="4" t="s">
        <v>321</v>
      </c>
      <c r="D278" s="4" t="s">
        <v>64</v>
      </c>
      <c r="E278" s="4" t="s">
        <v>77</v>
      </c>
      <c r="F278" s="4" t="n">
        <v>2</v>
      </c>
      <c r="G278" s="4" t="s">
        <v>836</v>
      </c>
      <c r="H278" s="4" t="s">
        <v>47</v>
      </c>
      <c r="I278" s="4" t="s">
        <v>755</v>
      </c>
      <c r="J278" s="6" t="n">
        <f aca="false">IFERROR(DATEVALUE(B278),"")</f>
        <v>45829</v>
      </c>
      <c r="K278" s="4" t="str">
        <f aca="false">IF(A278="","",PROPER(TRIM(C278)))</f>
        <v>West</v>
      </c>
      <c r="L278" s="4" t="str">
        <f aca="false">IF(A278="","",PROPER(TRIM(D278)))</f>
        <v>Footwear</v>
      </c>
      <c r="M278" s="4" t="n">
        <f aca="false">IFERROR(VALUE(F278),0)</f>
        <v>2</v>
      </c>
      <c r="N278" s="7" t="n">
        <f aca="false">IFERROR(VALUE(SUBSTITUTE(G278,"$","")),0)</f>
        <v>147.66</v>
      </c>
      <c r="O278" s="4" t="n">
        <f aca="false">IF(A278="",0,IF(COUNTIF($A$2:A278,A278)&gt;1,1,0))</f>
        <v>0</v>
      </c>
      <c r="P278" s="4" t="n">
        <f aca="false">IF(AND(A278&lt;&gt;"",J278&lt;&gt;"",M278&gt;0,N278&gt;0,O278=0),1,0)</f>
        <v>1</v>
      </c>
      <c r="Q278" s="7" t="n">
        <f aca="false">IF(P278=1,M278*N278,0)</f>
        <v>295.32</v>
      </c>
    </row>
    <row r="279" customFormat="false" ht="15" hidden="false" customHeight="false" outlineLevel="0" collapsed="false">
      <c r="A279" s="4" t="n">
        <v>10236</v>
      </c>
      <c r="B279" s="4" t="s">
        <v>837</v>
      </c>
      <c r="C279" s="4" t="s">
        <v>105</v>
      </c>
      <c r="D279" s="4" t="s">
        <v>129</v>
      </c>
      <c r="E279" s="4" t="s">
        <v>125</v>
      </c>
      <c r="F279" s="4" t="n">
        <v>2</v>
      </c>
      <c r="G279" s="4" t="s">
        <v>406</v>
      </c>
      <c r="H279" s="4" t="s">
        <v>54</v>
      </c>
      <c r="I279" s="4" t="s">
        <v>338</v>
      </c>
      <c r="J279" s="6" t="n">
        <f aca="false">IFERROR(DATEVALUE(B279),"")</f>
        <v>45578</v>
      </c>
      <c r="K279" s="4" t="str">
        <f aca="false">IF(A279="","",PROPER(TRIM(C279)))</f>
        <v>Midwest</v>
      </c>
      <c r="L279" s="4" t="str">
        <f aca="false">IF(A279="","",PROPER(TRIM(D279)))</f>
        <v>Climbing Gear</v>
      </c>
      <c r="M279" s="4" t="n">
        <f aca="false">IFERROR(VALUE(F279),0)</f>
        <v>2</v>
      </c>
      <c r="N279" s="7" t="n">
        <f aca="false">IFERROR(VALUE(SUBSTITUTE(G279,"$","")),0)</f>
        <v>90.25</v>
      </c>
      <c r="O279" s="4" t="n">
        <f aca="false">IF(A279="",0,IF(COUNTIF($A$2:A279,A279)&gt;1,1,0))</f>
        <v>0</v>
      </c>
      <c r="P279" s="4" t="n">
        <f aca="false">IF(AND(A279&lt;&gt;"",J279&lt;&gt;"",M279&gt;0,N279&gt;0,O279=0),1,0)</f>
        <v>1</v>
      </c>
      <c r="Q279" s="7" t="n">
        <f aca="false">IF(P279=1,M279*N279,0)</f>
        <v>180.5</v>
      </c>
    </row>
    <row r="280" customFormat="false" ht="15" hidden="false" customHeight="false" outlineLevel="0" collapsed="false">
      <c r="A280" s="4" t="n">
        <v>10540</v>
      </c>
      <c r="B280" s="4" t="s">
        <v>838</v>
      </c>
      <c r="C280" s="4" t="s">
        <v>50</v>
      </c>
      <c r="D280" s="4" t="s">
        <v>76</v>
      </c>
      <c r="E280" s="4" t="s">
        <v>77</v>
      </c>
      <c r="F280" s="4" t="n">
        <v>1</v>
      </c>
      <c r="G280" s="4" t="s">
        <v>839</v>
      </c>
      <c r="H280" s="4" t="s">
        <v>54</v>
      </c>
      <c r="I280" s="4" t="s">
        <v>295</v>
      </c>
      <c r="J280" s="6" t="n">
        <f aca="false">IFERROR(DATEVALUE(B280),"")</f>
        <v>45471</v>
      </c>
      <c r="K280" s="4" t="str">
        <f aca="false">IF(A280="","",PROPER(TRIM(C280)))</f>
        <v>Midwest</v>
      </c>
      <c r="L280" s="4" t="str">
        <f aca="false">IF(A280="","",PROPER(TRIM(D280)))</f>
        <v>Footwear</v>
      </c>
      <c r="M280" s="4" t="n">
        <f aca="false">IFERROR(VALUE(F280),0)</f>
        <v>1</v>
      </c>
      <c r="N280" s="7" t="n">
        <f aca="false">IFERROR(VALUE(SUBSTITUTE(G280,"$","")),0)</f>
        <v>119.5</v>
      </c>
      <c r="O280" s="4" t="n">
        <f aca="false">IF(A280="",0,IF(COUNTIF($A$2:A280,A280)&gt;1,1,0))</f>
        <v>0</v>
      </c>
      <c r="P280" s="4" t="n">
        <f aca="false">IF(AND(A280&lt;&gt;"",J280&lt;&gt;"",M280&gt;0,N280&gt;0,O280=0),1,0)</f>
        <v>1</v>
      </c>
      <c r="Q280" s="7" t="n">
        <f aca="false">IF(P280=1,M280*N280,0)</f>
        <v>119.5</v>
      </c>
    </row>
    <row r="281" customFormat="false" ht="15" hidden="false" customHeight="false" outlineLevel="0" collapsed="false">
      <c r="A281" s="4" t="n">
        <v>10214</v>
      </c>
      <c r="B281" s="4" t="s">
        <v>840</v>
      </c>
      <c r="C281" s="4" t="s">
        <v>155</v>
      </c>
      <c r="D281" s="4" t="s">
        <v>171</v>
      </c>
      <c r="E281" s="4" t="s">
        <v>203</v>
      </c>
      <c r="F281" s="4" t="n">
        <v>1</v>
      </c>
      <c r="G281" s="4" t="s">
        <v>841</v>
      </c>
      <c r="H281" s="4" t="s">
        <v>54</v>
      </c>
      <c r="I281" s="4" t="s">
        <v>842</v>
      </c>
      <c r="J281" s="6" t="n">
        <f aca="false">IFERROR(DATEVALUE(B281),"")</f>
        <v>45334</v>
      </c>
      <c r="K281" s="4" t="str">
        <f aca="false">IF(A281="","",PROPER(TRIM(C281)))</f>
        <v>South</v>
      </c>
      <c r="L281" s="4" t="str">
        <f aca="false">IF(A281="","",PROPER(TRIM(D281)))</f>
        <v>Camping Gear</v>
      </c>
      <c r="M281" s="4" t="n">
        <f aca="false">IFERROR(VALUE(F281),0)</f>
        <v>1</v>
      </c>
      <c r="N281" s="7" t="n">
        <f aca="false">IFERROR(VALUE(SUBSTITUTE(G281,"$","")),0)</f>
        <v>215.9</v>
      </c>
      <c r="O281" s="4" t="n">
        <f aca="false">IF(A281="",0,IF(COUNTIF($A$2:A281,A281)&gt;1,1,0))</f>
        <v>0</v>
      </c>
      <c r="P281" s="4" t="n">
        <f aca="false">IF(AND(A281&lt;&gt;"",J281&lt;&gt;"",M281&gt;0,N281&gt;0,O281=0),1,0)</f>
        <v>1</v>
      </c>
      <c r="Q281" s="7" t="n">
        <f aca="false">IF(P281=1,M281*N281,0)</f>
        <v>215.9</v>
      </c>
    </row>
    <row r="282" customFormat="false" ht="15" hidden="false" customHeight="false" outlineLevel="0" collapsed="false">
      <c r="A282" s="4" t="n">
        <v>10518</v>
      </c>
      <c r="B282" s="4" t="s">
        <v>843</v>
      </c>
      <c r="C282" s="4" t="s">
        <v>149</v>
      </c>
      <c r="D282" s="4" t="s">
        <v>129</v>
      </c>
      <c r="E282" s="4" t="s">
        <v>188</v>
      </c>
      <c r="F282" s="4" t="n">
        <v>4</v>
      </c>
      <c r="G282" s="4" t="s">
        <v>844</v>
      </c>
      <c r="H282" s="4" t="s">
        <v>54</v>
      </c>
      <c r="I282" s="4" t="s">
        <v>289</v>
      </c>
      <c r="J282" s="6" t="n">
        <f aca="false">IFERROR(DATEVALUE(B282),"")</f>
        <v>45645</v>
      </c>
      <c r="K282" s="4" t="str">
        <f aca="false">IF(A282="","",PROPER(TRIM(C282)))</f>
        <v>East</v>
      </c>
      <c r="L282" s="4" t="str">
        <f aca="false">IF(A282="","",PROPER(TRIM(D282)))</f>
        <v>Climbing Gear</v>
      </c>
      <c r="M282" s="4" t="n">
        <f aca="false">IFERROR(VALUE(F282),0)</f>
        <v>4</v>
      </c>
      <c r="N282" s="7" t="n">
        <f aca="false">IFERROR(VALUE(SUBSTITUTE(G282,"$","")),0)</f>
        <v>19.19</v>
      </c>
      <c r="O282" s="4" t="n">
        <f aca="false">IF(A282="",0,IF(COUNTIF($A$2:A282,A282)&gt;1,1,0))</f>
        <v>0</v>
      </c>
      <c r="P282" s="4" t="n">
        <f aca="false">IF(AND(A282&lt;&gt;"",J282&lt;&gt;"",M282&gt;0,N282&gt;0,O282=0),1,0)</f>
        <v>1</v>
      </c>
      <c r="Q282" s="7" t="n">
        <f aca="false">IF(P282=1,M282*N282,0)</f>
        <v>76.76</v>
      </c>
    </row>
    <row r="283" customFormat="false" ht="15" hidden="false" customHeight="false" outlineLevel="0" collapsed="false">
      <c r="A283" s="4" t="n">
        <v>10653</v>
      </c>
      <c r="B283" s="4" t="s">
        <v>845</v>
      </c>
      <c r="C283" s="4" t="s">
        <v>155</v>
      </c>
      <c r="D283" s="4" t="s">
        <v>281</v>
      </c>
      <c r="E283" s="4" t="s">
        <v>71</v>
      </c>
      <c r="F283" s="4" t="n">
        <v>3</v>
      </c>
      <c r="G283" s="4" t="s">
        <v>846</v>
      </c>
      <c r="H283" s="4" t="s">
        <v>47</v>
      </c>
      <c r="I283" s="4" t="s">
        <v>227</v>
      </c>
      <c r="J283" s="6" t="n">
        <f aca="false">IFERROR(DATEVALUE(B283),"")</f>
        <v>45449</v>
      </c>
      <c r="K283" s="4" t="str">
        <f aca="false">IF(A283="","",PROPER(TRIM(C283)))</f>
        <v>South</v>
      </c>
      <c r="L283" s="4" t="str">
        <f aca="false">IF(A283="","",PROPER(TRIM(D283)))</f>
        <v>Camping Gear</v>
      </c>
      <c r="M283" s="4" t="n">
        <f aca="false">IFERROR(VALUE(F283),0)</f>
        <v>3</v>
      </c>
      <c r="N283" s="7" t="n">
        <f aca="false">IFERROR(VALUE(SUBSTITUTE(G283,"$","")),0)</f>
        <v>73.47</v>
      </c>
      <c r="O283" s="4" t="n">
        <f aca="false">IF(A283="",0,IF(COUNTIF($A$2:A283,A283)&gt;1,1,0))</f>
        <v>0</v>
      </c>
      <c r="P283" s="4" t="n">
        <f aca="false">IF(AND(A283&lt;&gt;"",J283&lt;&gt;"",M283&gt;0,N283&gt;0,O283=0),1,0)</f>
        <v>1</v>
      </c>
      <c r="Q283" s="7" t="n">
        <f aca="false">IF(P283=1,M283*N283,0)</f>
        <v>220.41</v>
      </c>
    </row>
    <row r="284" customFormat="false" ht="15" hidden="false" customHeight="false" outlineLevel="0" collapsed="false">
      <c r="A284" s="4" t="n">
        <v>10399</v>
      </c>
      <c r="B284" s="4" t="s">
        <v>847</v>
      </c>
      <c r="C284" s="4" t="s">
        <v>110</v>
      </c>
      <c r="D284" s="4" t="s">
        <v>179</v>
      </c>
      <c r="E284" s="4" t="s">
        <v>125</v>
      </c>
      <c r="F284" s="4" t="n">
        <v>2</v>
      </c>
      <c r="G284" s="4" t="s">
        <v>848</v>
      </c>
      <c r="H284" s="4" t="s">
        <v>47</v>
      </c>
      <c r="I284" s="4" t="s">
        <v>849</v>
      </c>
      <c r="J284" s="6" t="n">
        <f aca="false">IFERROR(DATEVALUE(B284),"")</f>
        <v>45601</v>
      </c>
      <c r="K284" s="4" t="str">
        <f aca="false">IF(A284="","",PROPER(TRIM(C284)))</f>
        <v>Midwest</v>
      </c>
      <c r="L284" s="4" t="str">
        <f aca="false">IF(A284="","",PROPER(TRIM(D284)))</f>
        <v>Climbing Gear</v>
      </c>
      <c r="M284" s="4" t="n">
        <f aca="false">IFERROR(VALUE(F284),0)</f>
        <v>2</v>
      </c>
      <c r="N284" s="7" t="n">
        <f aca="false">IFERROR(VALUE(SUBSTITUTE(G284,"$","")),0)</f>
        <v>106.21</v>
      </c>
      <c r="O284" s="4" t="n">
        <f aca="false">IF(A284="",0,IF(COUNTIF($A$2:A284,A284)&gt;1,1,0))</f>
        <v>0</v>
      </c>
      <c r="P284" s="4" t="n">
        <f aca="false">IF(AND(A284&lt;&gt;"",J284&lt;&gt;"",M284&gt;0,N284&gt;0,O284=0),1,0)</f>
        <v>1</v>
      </c>
      <c r="Q284" s="7" t="n">
        <f aca="false">IF(P284=1,M284*N284,0)</f>
        <v>212.42</v>
      </c>
    </row>
    <row r="285" customFormat="false" ht="15" hidden="false" customHeight="false" outlineLevel="0" collapsed="false">
      <c r="A285" s="4" t="n">
        <v>10446</v>
      </c>
      <c r="B285" s="4" t="s">
        <v>216</v>
      </c>
      <c r="C285" s="4" t="s">
        <v>155</v>
      </c>
      <c r="D285" s="4" t="s">
        <v>230</v>
      </c>
      <c r="E285" s="4" t="s">
        <v>116</v>
      </c>
      <c r="F285" s="4" t="n">
        <v>1</v>
      </c>
      <c r="G285" s="4" t="s">
        <v>850</v>
      </c>
      <c r="H285" s="4" t="s">
        <v>54</v>
      </c>
      <c r="I285" s="4" t="s">
        <v>851</v>
      </c>
      <c r="J285" s="6" t="str">
        <f aca="false">IFERROR(DATEVALUE(B285),"")</f>
        <v/>
      </c>
      <c r="K285" s="4" t="str">
        <f aca="false">IF(A285="","",PROPER(TRIM(C285)))</f>
        <v>South</v>
      </c>
      <c r="L285" s="4" t="str">
        <f aca="false">IF(A285="","",PROPER(TRIM(D285)))</f>
        <v>Apparel</v>
      </c>
      <c r="M285" s="4" t="n">
        <f aca="false">IFERROR(VALUE(F285),0)</f>
        <v>1</v>
      </c>
      <c r="N285" s="7" t="n">
        <f aca="false">IFERROR(VALUE(SUBSTITUTE(G285,"$","")),0)</f>
        <v>76.16</v>
      </c>
      <c r="O285" s="4" t="n">
        <f aca="false">IF(A285="",0,IF(COUNTIF($A$2:A285,A285)&gt;1,1,0))</f>
        <v>0</v>
      </c>
      <c r="P285" s="4" t="n">
        <f aca="false">IF(AND(A285&lt;&gt;"",J285&lt;&gt;"",M285&gt;0,N285&gt;0,O285=0),1,0)</f>
        <v>0</v>
      </c>
      <c r="Q285" s="7" t="n">
        <f aca="false">IF(P285=1,M285*N285,0)</f>
        <v>0</v>
      </c>
    </row>
    <row r="286" customFormat="false" ht="15" hidden="false" customHeight="false" outlineLevel="0" collapsed="false">
      <c r="A286" s="4" t="n">
        <v>10379</v>
      </c>
      <c r="B286" s="4" t="s">
        <v>852</v>
      </c>
      <c r="C286" s="4" t="s">
        <v>57</v>
      </c>
      <c r="D286" s="4" t="s">
        <v>250</v>
      </c>
      <c r="E286" s="4" t="s">
        <v>448</v>
      </c>
      <c r="F286" s="4" t="n">
        <v>3</v>
      </c>
      <c r="G286" s="4" t="s">
        <v>853</v>
      </c>
      <c r="H286" s="4" t="s">
        <v>54</v>
      </c>
      <c r="I286" s="4" t="s">
        <v>854</v>
      </c>
      <c r="J286" s="6" t="n">
        <f aca="false">IFERROR(DATEVALUE(B286),"")</f>
        <v>45775</v>
      </c>
      <c r="K286" s="4" t="str">
        <f aca="false">IF(A286="","",PROPER(TRIM(C286)))</f>
        <v>West</v>
      </c>
      <c r="L286" s="4" t="str">
        <f aca="false">IF(A286="","",PROPER(TRIM(D286)))</f>
        <v>Camping Gear</v>
      </c>
      <c r="M286" s="4" t="n">
        <f aca="false">IFERROR(VALUE(F286),0)</f>
        <v>3</v>
      </c>
      <c r="N286" s="7" t="n">
        <f aca="false">IFERROR(VALUE(SUBSTITUTE(G286,"$","")),0)</f>
        <v>187.16</v>
      </c>
      <c r="O286" s="4" t="n">
        <f aca="false">IF(A286="",0,IF(COUNTIF($A$2:A286,A286)&gt;1,1,0))</f>
        <v>0</v>
      </c>
      <c r="P286" s="4" t="n">
        <f aca="false">IF(AND(A286&lt;&gt;"",J286&lt;&gt;"",M286&gt;0,N286&gt;0,O286=0),1,0)</f>
        <v>1</v>
      </c>
      <c r="Q286" s="7" t="n">
        <f aca="false">IF(P286=1,M286*N286,0)</f>
        <v>561.48</v>
      </c>
    </row>
    <row r="287" customFormat="false" ht="15" hidden="false" customHeight="false" outlineLevel="0" collapsed="false">
      <c r="A287" s="4" t="n">
        <v>10499</v>
      </c>
      <c r="B287" s="4" t="s">
        <v>855</v>
      </c>
      <c r="C287" s="4" t="s">
        <v>57</v>
      </c>
      <c r="D287" s="4" t="s">
        <v>387</v>
      </c>
      <c r="E287" s="4" t="s">
        <v>448</v>
      </c>
      <c r="F287" s="4" t="n">
        <v>2</v>
      </c>
      <c r="G287" s="4" t="s">
        <v>856</v>
      </c>
      <c r="H287" s="4" t="s">
        <v>73</v>
      </c>
      <c r="I287" s="4" t="s">
        <v>482</v>
      </c>
      <c r="J287" s="6" t="n">
        <f aca="false">IFERROR(DATEVALUE(B287),"")</f>
        <v>45315</v>
      </c>
      <c r="K287" s="4" t="str">
        <f aca="false">IF(A287="","",PROPER(TRIM(C287)))</f>
        <v>West</v>
      </c>
      <c r="L287" s="4" t="str">
        <f aca="false">IF(A287="","",PROPER(TRIM(D287)))</f>
        <v>Camping Gear</v>
      </c>
      <c r="M287" s="4" t="n">
        <f aca="false">IFERROR(VALUE(F287),0)</f>
        <v>2</v>
      </c>
      <c r="N287" s="7" t="n">
        <f aca="false">IFERROR(VALUE(SUBSTITUTE(G287,"$","")),0)</f>
        <v>179.34</v>
      </c>
      <c r="O287" s="4" t="n">
        <f aca="false">IF(A287="",0,IF(COUNTIF($A$2:A287,A287)&gt;1,1,0))</f>
        <v>0</v>
      </c>
      <c r="P287" s="4" t="n">
        <f aca="false">IF(AND(A287&lt;&gt;"",J287&lt;&gt;"",M287&gt;0,N287&gt;0,O287=0),1,0)</f>
        <v>1</v>
      </c>
      <c r="Q287" s="7" t="n">
        <f aca="false">IF(P287=1,M287*N287,0)</f>
        <v>358.68</v>
      </c>
    </row>
    <row r="288" customFormat="false" ht="15" hidden="false" customHeight="false" outlineLevel="0" collapsed="false">
      <c r="A288" s="4" t="n">
        <v>10077</v>
      </c>
      <c r="B288" s="4" t="s">
        <v>662</v>
      </c>
      <c r="C288" s="4" t="s">
        <v>149</v>
      </c>
      <c r="D288" s="4" t="s">
        <v>179</v>
      </c>
      <c r="E288" s="4" t="s">
        <v>59</v>
      </c>
      <c r="F288" s="4" t="n">
        <v>1</v>
      </c>
      <c r="G288" s="4" t="s">
        <v>663</v>
      </c>
      <c r="H288" s="4" t="s">
        <v>73</v>
      </c>
      <c r="I288" s="4" t="s">
        <v>301</v>
      </c>
      <c r="J288" s="6" t="n">
        <f aca="false">IFERROR(DATEVALUE(B288),"")</f>
        <v>45669</v>
      </c>
      <c r="K288" s="4" t="str">
        <f aca="false">IF(A288="","",PROPER(TRIM(C288)))</f>
        <v>East</v>
      </c>
      <c r="L288" s="4" t="str">
        <f aca="false">IF(A288="","",PROPER(TRIM(D288)))</f>
        <v>Climbing Gear</v>
      </c>
      <c r="M288" s="4" t="n">
        <f aca="false">IFERROR(VALUE(F288),0)</f>
        <v>1</v>
      </c>
      <c r="N288" s="7" t="n">
        <f aca="false">IFERROR(VALUE(SUBSTITUTE(G288,"$","")),0)</f>
        <v>38.64</v>
      </c>
      <c r="O288" s="4" t="n">
        <f aca="false">IF(A288="",0,IF(COUNTIF($A$2:A288,A288)&gt;1,1,0))</f>
        <v>1</v>
      </c>
      <c r="P288" s="4" t="n">
        <f aca="false">IF(AND(A288&lt;&gt;"",J288&lt;&gt;"",M288&gt;0,N288&gt;0,O288=0),1,0)</f>
        <v>0</v>
      </c>
      <c r="Q288" s="7" t="n">
        <f aca="false">IF(P288=1,M288*N288,0)</f>
        <v>0</v>
      </c>
    </row>
    <row r="289" customFormat="false" ht="15" hidden="false" customHeight="false" outlineLevel="0" collapsed="false">
      <c r="A289" s="4" t="n">
        <v>10737</v>
      </c>
      <c r="B289" s="4" t="s">
        <v>857</v>
      </c>
      <c r="C289" s="4" t="s">
        <v>149</v>
      </c>
      <c r="D289" s="4" t="s">
        <v>58</v>
      </c>
      <c r="E289" s="4" t="s">
        <v>59</v>
      </c>
      <c r="F289" s="4" t="n">
        <v>3</v>
      </c>
      <c r="G289" s="4" t="s">
        <v>858</v>
      </c>
      <c r="H289" s="4" t="s">
        <v>73</v>
      </c>
      <c r="I289" s="4" t="s">
        <v>368</v>
      </c>
      <c r="J289" s="6" t="n">
        <f aca="false">IFERROR(DATEVALUE(B289),"")</f>
        <v>45775</v>
      </c>
      <c r="K289" s="4" t="str">
        <f aca="false">IF(A289="","",PROPER(TRIM(C289)))</f>
        <v>East</v>
      </c>
      <c r="L289" s="4" t="str">
        <f aca="false">IF(A289="","",PROPER(TRIM(D289)))</f>
        <v>Climbing Gear</v>
      </c>
      <c r="M289" s="4" t="n">
        <f aca="false">IFERROR(VALUE(F289),0)</f>
        <v>3</v>
      </c>
      <c r="N289" s="7" t="n">
        <f aca="false">IFERROR(VALUE(SUBSTITUTE(G289,"$","")),0)</f>
        <v>42.18</v>
      </c>
      <c r="O289" s="4" t="n">
        <f aca="false">IF(A289="",0,IF(COUNTIF($A$2:A289,A289)&gt;1,1,0))</f>
        <v>0</v>
      </c>
      <c r="P289" s="4" t="n">
        <f aca="false">IF(AND(A289&lt;&gt;"",J289&lt;&gt;"",M289&gt;0,N289&gt;0,O289=0),1,0)</f>
        <v>1</v>
      </c>
      <c r="Q289" s="7" t="n">
        <f aca="false">IF(P289=1,M289*N289,0)</f>
        <v>126.54</v>
      </c>
    </row>
    <row r="290" customFormat="false" ht="15" hidden="false" customHeight="false" outlineLevel="0" collapsed="false">
      <c r="A290" s="4" t="n">
        <v>10188</v>
      </c>
      <c r="B290" s="4" t="s">
        <v>97</v>
      </c>
      <c r="C290" s="4" t="s">
        <v>120</v>
      </c>
      <c r="D290" s="4" t="s">
        <v>101</v>
      </c>
      <c r="E290" s="4" t="s">
        <v>45</v>
      </c>
      <c r="F290" s="4" t="n">
        <v>3</v>
      </c>
      <c r="G290" s="4" t="s">
        <v>859</v>
      </c>
      <c r="H290" s="4" t="s">
        <v>73</v>
      </c>
      <c r="I290" s="4" t="s">
        <v>197</v>
      </c>
      <c r="J290" s="6" t="n">
        <f aca="false">IFERROR(DATEVALUE(B290),"")</f>
        <v>45655</v>
      </c>
      <c r="K290" s="4" t="str">
        <f aca="false">IF(A290="","",PROPER(TRIM(C290)))</f>
        <v>East</v>
      </c>
      <c r="L290" s="4" t="str">
        <f aca="false">IF(A290="","",PROPER(TRIM(D290)))</f>
        <v>Accessories</v>
      </c>
      <c r="M290" s="4" t="n">
        <f aca="false">IFERROR(VALUE(F290),0)</f>
        <v>3</v>
      </c>
      <c r="N290" s="7" t="n">
        <f aca="false">IFERROR(VALUE(SUBSTITUTE(G290,"$","")),0)</f>
        <v>56.46</v>
      </c>
      <c r="O290" s="4" t="n">
        <f aca="false">IF(A290="",0,IF(COUNTIF($A$2:A290,A290)&gt;1,1,0))</f>
        <v>1</v>
      </c>
      <c r="P290" s="4" t="n">
        <f aca="false">IF(AND(A290&lt;&gt;"",J290&lt;&gt;"",M290&gt;0,N290&gt;0,O290=0),1,0)</f>
        <v>0</v>
      </c>
      <c r="Q290" s="7" t="n">
        <f aca="false">IF(P290=1,M290*N290,0)</f>
        <v>0</v>
      </c>
    </row>
    <row r="291" customFormat="false" ht="15" hidden="false" customHeight="false" outlineLevel="0" collapsed="false">
      <c r="A291" s="4" t="n">
        <v>10383</v>
      </c>
      <c r="B291" s="4" t="s">
        <v>860</v>
      </c>
      <c r="C291" s="4" t="s">
        <v>541</v>
      </c>
      <c r="D291" s="4" t="s">
        <v>164</v>
      </c>
      <c r="E291" s="4" t="s">
        <v>89</v>
      </c>
      <c r="F291" s="4" t="n">
        <v>2</v>
      </c>
      <c r="G291" s="4" t="s">
        <v>861</v>
      </c>
      <c r="H291" s="4" t="s">
        <v>47</v>
      </c>
      <c r="I291" s="4" t="s">
        <v>461</v>
      </c>
      <c r="J291" s="6" t="n">
        <f aca="false">IFERROR(DATEVALUE(B291),"")</f>
        <v>45621</v>
      </c>
      <c r="K291" s="4" t="str">
        <f aca="false">IF(A291="","",PROPER(TRIM(C291)))</f>
        <v>West</v>
      </c>
      <c r="L291" s="4" t="str">
        <f aca="false">IF(A291="","",PROPER(TRIM(D291)))</f>
        <v>Apparel</v>
      </c>
      <c r="M291" s="4" t="n">
        <f aca="false">IFERROR(VALUE(F291),0)</f>
        <v>2</v>
      </c>
      <c r="N291" s="7" t="n">
        <f aca="false">IFERROR(VALUE(SUBSTITUTE(G291,"$","")),0)</f>
        <v>61.06</v>
      </c>
      <c r="O291" s="4" t="n">
        <f aca="false">IF(A291="",0,IF(COUNTIF($A$2:A291,A291)&gt;1,1,0))</f>
        <v>0</v>
      </c>
      <c r="P291" s="4" t="n">
        <f aca="false">IF(AND(A291&lt;&gt;"",J291&lt;&gt;"",M291&gt;0,N291&gt;0,O291=0),1,0)</f>
        <v>1</v>
      </c>
      <c r="Q291" s="7" t="n">
        <f aca="false">IF(P291=1,M291*N291,0)</f>
        <v>122.12</v>
      </c>
    </row>
    <row r="292" customFormat="false" ht="15" hidden="false" customHeight="false" outlineLevel="0" collapsed="false">
      <c r="A292" s="4" t="n">
        <v>10223</v>
      </c>
      <c r="B292" s="4" t="s">
        <v>862</v>
      </c>
      <c r="C292" s="4" t="s">
        <v>332</v>
      </c>
      <c r="D292" s="4" t="s">
        <v>58</v>
      </c>
      <c r="E292" s="4" t="s">
        <v>59</v>
      </c>
      <c r="F292" s="4" t="n">
        <v>1</v>
      </c>
      <c r="G292" s="4" t="s">
        <v>863</v>
      </c>
      <c r="H292" s="4" t="s">
        <v>54</v>
      </c>
      <c r="I292" s="4" t="s">
        <v>864</v>
      </c>
      <c r="J292" s="6" t="n">
        <f aca="false">IFERROR(DATEVALUE(B292),"")</f>
        <v>45672</v>
      </c>
      <c r="K292" s="4" t="str">
        <f aca="false">IF(A292="","",PROPER(TRIM(C292)))</f>
        <v>West</v>
      </c>
      <c r="L292" s="4" t="str">
        <f aca="false">IF(A292="","",PROPER(TRIM(D292)))</f>
        <v>Climbing Gear</v>
      </c>
      <c r="M292" s="4" t="n">
        <f aca="false">IFERROR(VALUE(F292),0)</f>
        <v>1</v>
      </c>
      <c r="N292" s="7" t="n">
        <f aca="false">IFERROR(VALUE(SUBSTITUTE(G292,"$","")),0)</f>
        <v>42.17</v>
      </c>
      <c r="O292" s="4" t="n">
        <f aca="false">IF(A292="",0,IF(COUNTIF($A$2:A292,A292)&gt;1,1,0))</f>
        <v>0</v>
      </c>
      <c r="P292" s="4" t="n">
        <f aca="false">IF(AND(A292&lt;&gt;"",J292&lt;&gt;"",M292&gt;0,N292&gt;0,O292=0),1,0)</f>
        <v>1</v>
      </c>
      <c r="Q292" s="7" t="n">
        <f aca="false">IF(P292=1,M292*N292,0)</f>
        <v>42.17</v>
      </c>
    </row>
    <row r="293" customFormat="false" ht="15" hidden="false" customHeight="false" outlineLevel="0" collapsed="false">
      <c r="A293" s="4" t="n">
        <v>10689</v>
      </c>
      <c r="B293" s="4" t="s">
        <v>865</v>
      </c>
      <c r="C293" s="4" t="s">
        <v>133</v>
      </c>
      <c r="D293" s="4" t="s">
        <v>115</v>
      </c>
      <c r="E293" s="4" t="s">
        <v>116</v>
      </c>
      <c r="F293" s="4" t="n">
        <v>1</v>
      </c>
      <c r="G293" s="4" t="s">
        <v>866</v>
      </c>
      <c r="H293" s="4" t="s">
        <v>47</v>
      </c>
      <c r="I293" s="4" t="s">
        <v>86</v>
      </c>
      <c r="J293" s="6" t="n">
        <f aca="false">IFERROR(DATEVALUE(B293),"")</f>
        <v>45808</v>
      </c>
      <c r="K293" s="4" t="str">
        <f aca="false">IF(A293="","",PROPER(TRIM(C293)))</f>
        <v>East</v>
      </c>
      <c r="L293" s="4" t="str">
        <f aca="false">IF(A293="","",PROPER(TRIM(D293)))</f>
        <v>Apparel</v>
      </c>
      <c r="M293" s="4" t="n">
        <f aca="false">IFERROR(VALUE(F293),0)</f>
        <v>1</v>
      </c>
      <c r="N293" s="7" t="n">
        <f aca="false">IFERROR(VALUE(SUBSTITUTE(G293,"$","")),0)</f>
        <v>67.59</v>
      </c>
      <c r="O293" s="4" t="n">
        <f aca="false">IF(A293="",0,IF(COUNTIF($A$2:A293,A293)&gt;1,1,0))</f>
        <v>0</v>
      </c>
      <c r="P293" s="4" t="n">
        <f aca="false">IF(AND(A293&lt;&gt;"",J293&lt;&gt;"",M293&gt;0,N293&gt;0,O293=0),1,0)</f>
        <v>1</v>
      </c>
      <c r="Q293" s="7" t="n">
        <f aca="false">IF(P293=1,M293*N293,0)</f>
        <v>67.59</v>
      </c>
    </row>
    <row r="294" customFormat="false" ht="15" hidden="false" customHeight="false" outlineLevel="0" collapsed="false">
      <c r="A294" s="4" t="n">
        <v>10551</v>
      </c>
      <c r="B294" s="4" t="s">
        <v>867</v>
      </c>
      <c r="C294" s="4" t="s">
        <v>224</v>
      </c>
      <c r="D294" s="4" t="s">
        <v>106</v>
      </c>
      <c r="E294" s="4" t="s">
        <v>65</v>
      </c>
      <c r="F294" s="4" t="n">
        <v>2</v>
      </c>
      <c r="G294" s="4" t="s">
        <v>868</v>
      </c>
      <c r="H294" s="4" t="s">
        <v>73</v>
      </c>
      <c r="I294" s="4" t="s">
        <v>728</v>
      </c>
      <c r="J294" s="6" t="n">
        <f aca="false">IFERROR(DATEVALUE(B294),"")</f>
        <v>45469</v>
      </c>
      <c r="K294" s="4" t="str">
        <f aca="false">IF(A294="","",PROPER(TRIM(C294)))</f>
        <v>East</v>
      </c>
      <c r="L294" s="4" t="str">
        <f aca="false">IF(A294="","",PROPER(TRIM(D294)))</f>
        <v>Footwear</v>
      </c>
      <c r="M294" s="4" t="n">
        <f aca="false">IFERROR(VALUE(F294),0)</f>
        <v>2</v>
      </c>
      <c r="N294" s="7" t="n">
        <f aca="false">IFERROR(VALUE(SUBSTITUTE(G294,"$","")),0)</f>
        <v>59.17</v>
      </c>
      <c r="O294" s="4" t="n">
        <f aca="false">IF(A294="",0,IF(COUNTIF($A$2:A294,A294)&gt;1,1,0))</f>
        <v>0</v>
      </c>
      <c r="P294" s="4" t="n">
        <f aca="false">IF(AND(A294&lt;&gt;"",J294&lt;&gt;"",M294&gt;0,N294&gt;0,O294=0),1,0)</f>
        <v>1</v>
      </c>
      <c r="Q294" s="7" t="n">
        <f aca="false">IF(P294=1,M294*N294,0)</f>
        <v>118.34</v>
      </c>
    </row>
    <row r="295" customFormat="false" ht="15" hidden="false" customHeight="false" outlineLevel="0" collapsed="false">
      <c r="A295" s="4" t="n">
        <v>10243</v>
      </c>
      <c r="B295" s="4" t="s">
        <v>386</v>
      </c>
      <c r="C295" s="4" t="s">
        <v>93</v>
      </c>
      <c r="D295" s="4" t="s">
        <v>141</v>
      </c>
      <c r="E295" s="4" t="s">
        <v>142</v>
      </c>
      <c r="F295" s="4" t="n">
        <v>2</v>
      </c>
      <c r="G295" s="4" t="s">
        <v>869</v>
      </c>
      <c r="H295" s="4" t="s">
        <v>47</v>
      </c>
      <c r="I295" s="4" t="s">
        <v>870</v>
      </c>
      <c r="J295" s="6" t="str">
        <f aca="false">IFERROR(DATEVALUE(B295),"")</f>
        <v/>
      </c>
      <c r="K295" s="4" t="str">
        <f aca="false">IF(A295="","",PROPER(TRIM(C295)))</f>
        <v>West</v>
      </c>
      <c r="L295" s="4" t="str">
        <f aca="false">IF(A295="","",PROPER(TRIM(D295)))</f>
        <v>Apparel</v>
      </c>
      <c r="M295" s="4" t="n">
        <f aca="false">IFERROR(VALUE(F295),0)</f>
        <v>2</v>
      </c>
      <c r="N295" s="7" t="n">
        <f aca="false">IFERROR(VALUE(SUBSTITUTE(G295,"$","")),0)</f>
        <v>188.95</v>
      </c>
      <c r="O295" s="4" t="n">
        <f aca="false">IF(A295="",0,IF(COUNTIF($A$2:A295,A295)&gt;1,1,0))</f>
        <v>0</v>
      </c>
      <c r="P295" s="4" t="n">
        <f aca="false">IF(AND(A295&lt;&gt;"",J295&lt;&gt;"",M295&gt;0,N295&gt;0,O295=0),1,0)</f>
        <v>0</v>
      </c>
      <c r="Q295" s="7" t="n">
        <f aca="false">IF(P295=1,M295*N295,0)</f>
        <v>0</v>
      </c>
    </row>
    <row r="296" customFormat="false" ht="15" hidden="false" customHeight="false" outlineLevel="0" collapsed="false">
      <c r="A296" s="4" t="n">
        <v>10153</v>
      </c>
      <c r="B296" s="4" t="s">
        <v>871</v>
      </c>
      <c r="C296" s="4" t="s">
        <v>93</v>
      </c>
      <c r="D296" s="4" t="s">
        <v>150</v>
      </c>
      <c r="E296" s="4" t="s">
        <v>65</v>
      </c>
      <c r="F296" s="4" t="n">
        <v>1</v>
      </c>
      <c r="G296" s="4" t="s">
        <v>872</v>
      </c>
      <c r="H296" s="4" t="s">
        <v>54</v>
      </c>
      <c r="I296" s="4" t="s">
        <v>873</v>
      </c>
      <c r="J296" s="6" t="n">
        <f aca="false">IFERROR(DATEVALUE(B296),"")</f>
        <v>45302</v>
      </c>
      <c r="K296" s="4" t="str">
        <f aca="false">IF(A296="","",PROPER(TRIM(C296)))</f>
        <v>West</v>
      </c>
      <c r="L296" s="4" t="str">
        <f aca="false">IF(A296="","",PROPER(TRIM(D296)))</f>
        <v>Footwear</v>
      </c>
      <c r="M296" s="4" t="n">
        <f aca="false">IFERROR(VALUE(F296),0)</f>
        <v>1</v>
      </c>
      <c r="N296" s="7" t="n">
        <f aca="false">IFERROR(VALUE(SUBSTITUTE(G296,"$","")),0)</f>
        <v>55.72</v>
      </c>
      <c r="O296" s="4" t="n">
        <f aca="false">IF(A296="",0,IF(COUNTIF($A$2:A296,A296)&gt;1,1,0))</f>
        <v>0</v>
      </c>
      <c r="P296" s="4" t="n">
        <f aca="false">IF(AND(A296&lt;&gt;"",J296&lt;&gt;"",M296&gt;0,N296&gt;0,O296=0),1,0)</f>
        <v>1</v>
      </c>
      <c r="Q296" s="7" t="n">
        <f aca="false">IF(P296=1,M296*N296,0)</f>
        <v>55.72</v>
      </c>
    </row>
    <row r="297" customFormat="false" ht="15" hidden="false" customHeight="false" outlineLevel="0" collapsed="false">
      <c r="A297" s="4" t="n">
        <v>10418</v>
      </c>
      <c r="B297" s="4" t="s">
        <v>874</v>
      </c>
      <c r="C297" s="4" t="s">
        <v>50</v>
      </c>
      <c r="D297" s="4" t="s">
        <v>58</v>
      </c>
      <c r="E297" s="4" t="s">
        <v>94</v>
      </c>
      <c r="F297" s="4" t="n">
        <v>3</v>
      </c>
      <c r="G297" s="4" t="s">
        <v>875</v>
      </c>
      <c r="H297" s="4" t="s">
        <v>54</v>
      </c>
      <c r="I297" s="4" t="s">
        <v>854</v>
      </c>
      <c r="J297" s="6" t="n">
        <f aca="false">IFERROR(DATEVALUE(B297),"")</f>
        <v>45390</v>
      </c>
      <c r="K297" s="4" t="str">
        <f aca="false">IF(A297="","",PROPER(TRIM(C297)))</f>
        <v>Midwest</v>
      </c>
      <c r="L297" s="4" t="str">
        <f aca="false">IF(A297="","",PROPER(TRIM(D297)))</f>
        <v>Climbing Gear</v>
      </c>
      <c r="M297" s="4" t="n">
        <f aca="false">IFERROR(VALUE(F297),0)</f>
        <v>3</v>
      </c>
      <c r="N297" s="7" t="n">
        <f aca="false">IFERROR(VALUE(SUBSTITUTE(G297,"$","")),0)</f>
        <v>172.53</v>
      </c>
      <c r="O297" s="4" t="n">
        <f aca="false">IF(A297="",0,IF(COUNTIF($A$2:A297,A297)&gt;1,1,0))</f>
        <v>0</v>
      </c>
      <c r="P297" s="4" t="n">
        <f aca="false">IF(AND(A297&lt;&gt;"",J297&lt;&gt;"",M297&gt;0,N297&gt;0,O297=0),1,0)</f>
        <v>1</v>
      </c>
      <c r="Q297" s="7" t="n">
        <f aca="false">IF(P297=1,M297*N297,0)</f>
        <v>517.59</v>
      </c>
    </row>
    <row r="298" customFormat="false" ht="15" hidden="false" customHeight="false" outlineLevel="0" collapsed="false">
      <c r="A298" s="4" t="n">
        <v>10777</v>
      </c>
      <c r="B298" s="4" t="s">
        <v>75</v>
      </c>
      <c r="C298" s="4" t="s">
        <v>315</v>
      </c>
      <c r="D298" s="4" t="s">
        <v>333</v>
      </c>
      <c r="E298" s="4" t="s">
        <v>210</v>
      </c>
      <c r="F298" s="4" t="n">
        <v>1</v>
      </c>
      <c r="G298" s="4" t="s">
        <v>876</v>
      </c>
      <c r="H298" s="4" t="s">
        <v>47</v>
      </c>
      <c r="I298" s="4" t="s">
        <v>877</v>
      </c>
      <c r="J298" s="6" t="n">
        <f aca="false">IFERROR(DATEVALUE(B298),"")</f>
        <v>45356</v>
      </c>
      <c r="K298" s="4" t="str">
        <f aca="false">IF(A298="","",PROPER(TRIM(C298)))</f>
        <v>South</v>
      </c>
      <c r="L298" s="4" t="str">
        <f aca="false">IF(A298="","",PROPER(TRIM(D298)))</f>
        <v>Accessories</v>
      </c>
      <c r="M298" s="4" t="n">
        <f aca="false">IFERROR(VALUE(F298),0)</f>
        <v>1</v>
      </c>
      <c r="N298" s="7" t="n">
        <f aca="false">IFERROR(VALUE(SUBSTITUTE(G298,"$","")),0)</f>
        <v>39.12</v>
      </c>
      <c r="O298" s="4" t="n">
        <f aca="false">IF(A298="",0,IF(COUNTIF($A$2:A298,A298)&gt;1,1,0))</f>
        <v>0</v>
      </c>
      <c r="P298" s="4" t="n">
        <f aca="false">IF(AND(A298&lt;&gt;"",J298&lt;&gt;"",M298&gt;0,N298&gt;0,O298=0),1,0)</f>
        <v>1</v>
      </c>
      <c r="Q298" s="7" t="n">
        <f aca="false">IF(P298=1,M298*N298,0)</f>
        <v>39.12</v>
      </c>
    </row>
    <row r="299" customFormat="false" ht="15" hidden="false" customHeight="false" outlineLevel="0" collapsed="false">
      <c r="A299" s="4" t="n">
        <v>10398</v>
      </c>
      <c r="B299" s="4" t="s">
        <v>878</v>
      </c>
      <c r="C299" s="4" t="s">
        <v>149</v>
      </c>
      <c r="D299" s="4" t="s">
        <v>179</v>
      </c>
      <c r="E299" s="4" t="s">
        <v>94</v>
      </c>
      <c r="F299" s="4" t="n">
        <v>2</v>
      </c>
      <c r="G299" s="4" t="s">
        <v>879</v>
      </c>
      <c r="H299" s="4" t="s">
        <v>73</v>
      </c>
      <c r="I299" s="4" t="s">
        <v>880</v>
      </c>
      <c r="J299" s="6" t="n">
        <f aca="false">IFERROR(DATEVALUE(B299),"")</f>
        <v>45494</v>
      </c>
      <c r="K299" s="4" t="str">
        <f aca="false">IF(A299="","",PROPER(TRIM(C299)))</f>
        <v>East</v>
      </c>
      <c r="L299" s="4" t="str">
        <f aca="false">IF(A299="","",PROPER(TRIM(D299)))</f>
        <v>Climbing Gear</v>
      </c>
      <c r="M299" s="4" t="n">
        <f aca="false">IFERROR(VALUE(F299),0)</f>
        <v>2</v>
      </c>
      <c r="N299" s="7" t="n">
        <f aca="false">IFERROR(VALUE(SUBSTITUTE(G299,"$","")),0)</f>
        <v>175.47</v>
      </c>
      <c r="O299" s="4" t="n">
        <f aca="false">IF(A299="",0,IF(COUNTIF($A$2:A299,A299)&gt;1,1,0))</f>
        <v>0</v>
      </c>
      <c r="P299" s="4" t="n">
        <f aca="false">IF(AND(A299&lt;&gt;"",J299&lt;&gt;"",M299&gt;0,N299&gt;0,O299=0),1,0)</f>
        <v>1</v>
      </c>
      <c r="Q299" s="7" t="n">
        <f aca="false">IF(P299=1,M299*N299,0)</f>
        <v>350.94</v>
      </c>
    </row>
    <row r="300" customFormat="false" ht="15" hidden="false" customHeight="false" outlineLevel="0" collapsed="false">
      <c r="A300" s="4" t="n">
        <v>10346</v>
      </c>
      <c r="B300" s="4" t="s">
        <v>878</v>
      </c>
      <c r="C300" s="4" t="s">
        <v>435</v>
      </c>
      <c r="D300" s="4" t="s">
        <v>217</v>
      </c>
      <c r="E300" s="4" t="s">
        <v>89</v>
      </c>
      <c r="F300" s="4" t="n">
        <v>5</v>
      </c>
      <c r="G300" s="4" t="s">
        <v>881</v>
      </c>
      <c r="H300" s="4" t="s">
        <v>47</v>
      </c>
      <c r="I300" s="4" t="s">
        <v>256</v>
      </c>
      <c r="J300" s="6" t="n">
        <f aca="false">IFERROR(DATEVALUE(B300),"")</f>
        <v>45494</v>
      </c>
      <c r="K300" s="4" t="str">
        <f aca="false">IF(A300="","",PROPER(TRIM(C300)))</f>
        <v>Midwest</v>
      </c>
      <c r="L300" s="4" t="str">
        <f aca="false">IF(A300="","",PROPER(TRIM(D300)))</f>
        <v>Apparel</v>
      </c>
      <c r="M300" s="4" t="n">
        <f aca="false">IFERROR(VALUE(F300),0)</f>
        <v>5</v>
      </c>
      <c r="N300" s="7" t="n">
        <f aca="false">IFERROR(VALUE(SUBSTITUTE(G300,"$","")),0)</f>
        <v>63.13</v>
      </c>
      <c r="O300" s="4" t="n">
        <f aca="false">IF(A300="",0,IF(COUNTIF($A$2:A300,A300)&gt;1,1,0))</f>
        <v>0</v>
      </c>
      <c r="P300" s="4" t="n">
        <f aca="false">IF(AND(A300&lt;&gt;"",J300&lt;&gt;"",M300&gt;0,N300&gt;0,O300=0),1,0)</f>
        <v>1</v>
      </c>
      <c r="Q300" s="7" t="n">
        <f aca="false">IF(P300=1,M300*N300,0)</f>
        <v>315.65</v>
      </c>
    </row>
    <row r="301" customFormat="false" ht="15" hidden="false" customHeight="false" outlineLevel="0" collapsed="false">
      <c r="A301" s="4" t="n">
        <v>10046</v>
      </c>
      <c r="B301" s="4" t="s">
        <v>882</v>
      </c>
      <c r="C301" s="4" t="s">
        <v>315</v>
      </c>
      <c r="D301" s="4" t="s">
        <v>58</v>
      </c>
      <c r="E301" s="4" t="s">
        <v>188</v>
      </c>
      <c r="F301" s="4" t="n">
        <v>1</v>
      </c>
      <c r="G301" s="4" t="s">
        <v>883</v>
      </c>
      <c r="H301" s="4" t="s">
        <v>73</v>
      </c>
      <c r="I301" s="4" t="s">
        <v>232</v>
      </c>
      <c r="J301" s="6" t="n">
        <f aca="false">IFERROR(DATEVALUE(B301),"")</f>
        <v>45507</v>
      </c>
      <c r="K301" s="4" t="str">
        <f aca="false">IF(A301="","",PROPER(TRIM(C301)))</f>
        <v>South</v>
      </c>
      <c r="L301" s="4" t="str">
        <f aca="false">IF(A301="","",PROPER(TRIM(D301)))</f>
        <v>Climbing Gear</v>
      </c>
      <c r="M301" s="4" t="n">
        <f aca="false">IFERROR(VALUE(F301),0)</f>
        <v>1</v>
      </c>
      <c r="N301" s="7" t="n">
        <f aca="false">IFERROR(VALUE(SUBSTITUTE(G301,"$","")),0)</f>
        <v>21.72</v>
      </c>
      <c r="O301" s="4" t="n">
        <f aca="false">IF(A301="",0,IF(COUNTIF($A$2:A301,A301)&gt;1,1,0))</f>
        <v>0</v>
      </c>
      <c r="P301" s="4" t="n">
        <f aca="false">IF(AND(A301&lt;&gt;"",J301&lt;&gt;"",M301&gt;0,N301&gt;0,O301=0),1,0)</f>
        <v>1</v>
      </c>
      <c r="Q301" s="7" t="n">
        <f aca="false">IF(P301=1,M301*N301,0)</f>
        <v>21.72</v>
      </c>
    </row>
    <row r="302" customFormat="false" ht="15" hidden="false" customHeight="false" outlineLevel="0" collapsed="false">
      <c r="A302" s="4" t="n">
        <v>10706</v>
      </c>
      <c r="B302" s="4" t="s">
        <v>884</v>
      </c>
      <c r="C302" s="4" t="s">
        <v>315</v>
      </c>
      <c r="D302" s="4" t="s">
        <v>230</v>
      </c>
      <c r="E302" s="4" t="s">
        <v>142</v>
      </c>
      <c r="F302" s="4" t="n">
        <v>2</v>
      </c>
      <c r="G302" s="4" t="s">
        <v>885</v>
      </c>
      <c r="H302" s="4" t="s">
        <v>47</v>
      </c>
      <c r="I302" s="4" t="s">
        <v>422</v>
      </c>
      <c r="J302" s="6" t="n">
        <f aca="false">IFERROR(DATEVALUE(B302),"")</f>
        <v>45710</v>
      </c>
      <c r="K302" s="4" t="str">
        <f aca="false">IF(A302="","",PROPER(TRIM(C302)))</f>
        <v>South</v>
      </c>
      <c r="L302" s="4" t="str">
        <f aca="false">IF(A302="","",PROPER(TRIM(D302)))</f>
        <v>Apparel</v>
      </c>
      <c r="M302" s="4" t="n">
        <f aca="false">IFERROR(VALUE(F302),0)</f>
        <v>2</v>
      </c>
      <c r="N302" s="7" t="n">
        <f aca="false">IFERROR(VALUE(SUBSTITUTE(G302,"$","")),0)</f>
        <v>193.41</v>
      </c>
      <c r="O302" s="4" t="n">
        <f aca="false">IF(A302="",0,IF(COUNTIF($A$2:A302,A302)&gt;1,1,0))</f>
        <v>0</v>
      </c>
      <c r="P302" s="4" t="n">
        <f aca="false">IF(AND(A302&lt;&gt;"",J302&lt;&gt;"",M302&gt;0,N302&gt;0,O302=0),1,0)</f>
        <v>1</v>
      </c>
      <c r="Q302" s="7" t="n">
        <f aca="false">IF(P302=1,M302*N302,0)</f>
        <v>386.82</v>
      </c>
    </row>
    <row r="303" customFormat="false" ht="15" hidden="false" customHeight="false" outlineLevel="0" collapsed="false">
      <c r="A303" s="4" t="n">
        <v>10371</v>
      </c>
      <c r="B303" s="4" t="s">
        <v>886</v>
      </c>
      <c r="C303" s="4" t="s">
        <v>155</v>
      </c>
      <c r="D303" s="4" t="s">
        <v>70</v>
      </c>
      <c r="E303" s="4" t="s">
        <v>448</v>
      </c>
      <c r="F303" s="4" t="n">
        <v>1</v>
      </c>
      <c r="G303" s="4" t="s">
        <v>887</v>
      </c>
      <c r="H303" s="4" t="s">
        <v>47</v>
      </c>
      <c r="I303" s="4" t="s">
        <v>259</v>
      </c>
      <c r="J303" s="6" t="n">
        <f aca="false">IFERROR(DATEVALUE(B303),"")</f>
        <v>45718</v>
      </c>
      <c r="K303" s="4" t="str">
        <f aca="false">IF(A303="","",PROPER(TRIM(C303)))</f>
        <v>South</v>
      </c>
      <c r="L303" s="4" t="str">
        <f aca="false">IF(A303="","",PROPER(TRIM(D303)))</f>
        <v>Camping Gear</v>
      </c>
      <c r="M303" s="4" t="n">
        <f aca="false">IFERROR(VALUE(F303),0)</f>
        <v>1</v>
      </c>
      <c r="N303" s="7" t="n">
        <f aca="false">IFERROR(VALUE(SUBSTITUTE(G303,"$","")),0)</f>
        <v>172.79</v>
      </c>
      <c r="O303" s="4" t="n">
        <f aca="false">IF(A303="",0,IF(COUNTIF($A$2:A303,A303)&gt;1,1,0))</f>
        <v>0</v>
      </c>
      <c r="P303" s="4" t="n">
        <f aca="false">IF(AND(A303&lt;&gt;"",J303&lt;&gt;"",M303&gt;0,N303&gt;0,O303=0),1,0)</f>
        <v>1</v>
      </c>
      <c r="Q303" s="7" t="n">
        <f aca="false">IF(P303=1,M303*N303,0)</f>
        <v>172.79</v>
      </c>
    </row>
    <row r="304" customFormat="false" ht="15" hidden="false" customHeight="false" outlineLevel="0" collapsed="false">
      <c r="A304" s="4" t="n">
        <v>10673</v>
      </c>
      <c r="B304" s="4" t="s">
        <v>888</v>
      </c>
      <c r="C304" s="4" t="s">
        <v>80</v>
      </c>
      <c r="D304" s="4" t="s">
        <v>387</v>
      </c>
      <c r="E304" s="4" t="s">
        <v>71</v>
      </c>
      <c r="F304" s="4" t="n">
        <v>1</v>
      </c>
      <c r="G304" s="4" t="s">
        <v>889</v>
      </c>
      <c r="H304" s="4" t="s">
        <v>47</v>
      </c>
      <c r="I304" s="4" t="s">
        <v>688</v>
      </c>
      <c r="J304" s="6" t="n">
        <f aca="false">IFERROR(DATEVALUE(B304),"")</f>
        <v>45807</v>
      </c>
      <c r="K304" s="4" t="str">
        <f aca="false">IF(A304="","",PROPER(TRIM(C304)))</f>
        <v>South</v>
      </c>
      <c r="L304" s="4" t="str">
        <f aca="false">IF(A304="","",PROPER(TRIM(D304)))</f>
        <v>Camping Gear</v>
      </c>
      <c r="M304" s="4" t="n">
        <f aca="false">IFERROR(VALUE(F304),0)</f>
        <v>1</v>
      </c>
      <c r="N304" s="7" t="n">
        <f aca="false">IFERROR(VALUE(SUBSTITUTE(G304,"$","")),0)</f>
        <v>65.12</v>
      </c>
      <c r="O304" s="4" t="n">
        <f aca="false">IF(A304="",0,IF(COUNTIF($A$2:A304,A304)&gt;1,1,0))</f>
        <v>0</v>
      </c>
      <c r="P304" s="4" t="n">
        <f aca="false">IF(AND(A304&lt;&gt;"",J304&lt;&gt;"",M304&gt;0,N304&gt;0,O304=0),1,0)</f>
        <v>1</v>
      </c>
      <c r="Q304" s="7" t="n">
        <f aca="false">IF(P304=1,M304*N304,0)</f>
        <v>65.12</v>
      </c>
    </row>
    <row r="305" customFormat="false" ht="15" hidden="false" customHeight="false" outlineLevel="0" collapsed="false">
      <c r="A305" s="4" t="n">
        <v>10467</v>
      </c>
      <c r="B305" s="4" t="s">
        <v>890</v>
      </c>
      <c r="C305" s="4" t="s">
        <v>332</v>
      </c>
      <c r="D305" s="4" t="s">
        <v>81</v>
      </c>
      <c r="E305" s="4" t="s">
        <v>151</v>
      </c>
      <c r="F305" s="4" t="n">
        <v>5</v>
      </c>
      <c r="G305" s="4" t="s">
        <v>891</v>
      </c>
      <c r="H305" s="4" t="s">
        <v>73</v>
      </c>
      <c r="I305" s="4" t="s">
        <v>892</v>
      </c>
      <c r="J305" s="6" t="n">
        <f aca="false">IFERROR(DATEVALUE(B305),"")</f>
        <v>45350</v>
      </c>
      <c r="K305" s="4" t="str">
        <f aca="false">IF(A305="","",PROPER(TRIM(C305)))</f>
        <v>West</v>
      </c>
      <c r="L305" s="4" t="str">
        <f aca="false">IF(A305="","",PROPER(TRIM(D305)))</f>
        <v>Footwear</v>
      </c>
      <c r="M305" s="4" t="n">
        <f aca="false">IFERROR(VALUE(F305),0)</f>
        <v>5</v>
      </c>
      <c r="N305" s="7" t="n">
        <f aca="false">IFERROR(VALUE(SUBSTITUTE(G305,"$","")),0)</f>
        <v>150.71</v>
      </c>
      <c r="O305" s="4" t="n">
        <f aca="false">IF(A305="",0,IF(COUNTIF($A$2:A305,A305)&gt;1,1,0))</f>
        <v>0</v>
      </c>
      <c r="P305" s="4" t="n">
        <f aca="false">IF(AND(A305&lt;&gt;"",J305&lt;&gt;"",M305&gt;0,N305&gt;0,O305=0),1,0)</f>
        <v>1</v>
      </c>
      <c r="Q305" s="7" t="n">
        <f aca="false">IF(P305=1,M305*N305,0)</f>
        <v>753.55</v>
      </c>
    </row>
    <row r="306" customFormat="false" ht="15" hidden="false" customHeight="false" outlineLevel="0" collapsed="false">
      <c r="A306" s="4" t="n">
        <v>10312</v>
      </c>
      <c r="B306" s="4" t="s">
        <v>893</v>
      </c>
      <c r="C306" s="4" t="s">
        <v>93</v>
      </c>
      <c r="D306" s="4" t="s">
        <v>76</v>
      </c>
      <c r="E306" s="4" t="s">
        <v>111</v>
      </c>
      <c r="F306" s="4" t="n">
        <v>1</v>
      </c>
      <c r="G306" s="4" t="s">
        <v>894</v>
      </c>
      <c r="H306" s="4" t="s">
        <v>54</v>
      </c>
      <c r="I306" s="4" t="s">
        <v>895</v>
      </c>
      <c r="J306" s="6" t="n">
        <f aca="false">IFERROR(DATEVALUE(B306),"")</f>
        <v>45635</v>
      </c>
      <c r="K306" s="4" t="str">
        <f aca="false">IF(A306="","",PROPER(TRIM(C306)))</f>
        <v>West</v>
      </c>
      <c r="L306" s="4" t="str">
        <f aca="false">IF(A306="","",PROPER(TRIM(D306)))</f>
        <v>Footwear</v>
      </c>
      <c r="M306" s="4" t="n">
        <f aca="false">IFERROR(VALUE(F306),0)</f>
        <v>1</v>
      </c>
      <c r="N306" s="7" t="n">
        <f aca="false">IFERROR(VALUE(SUBSTITUTE(G306,"$","")),0)</f>
        <v>84.33</v>
      </c>
      <c r="O306" s="4" t="n">
        <f aca="false">IF(A306="",0,IF(COUNTIF($A$2:A306,A306)&gt;1,1,0))</f>
        <v>0</v>
      </c>
      <c r="P306" s="4" t="n">
        <f aca="false">IF(AND(A306&lt;&gt;"",J306&lt;&gt;"",M306&gt;0,N306&gt;0,O306=0),1,0)</f>
        <v>1</v>
      </c>
      <c r="Q306" s="7" t="n">
        <f aca="false">IF(P306=1,M306*N306,0)</f>
        <v>84.33</v>
      </c>
    </row>
    <row r="307" customFormat="false" ht="15" hidden="false" customHeight="false" outlineLevel="0" collapsed="false">
      <c r="A307" s="4" t="n">
        <v>10473</v>
      </c>
      <c r="B307" s="4" t="s">
        <v>896</v>
      </c>
      <c r="C307" s="4" t="s">
        <v>229</v>
      </c>
      <c r="D307" s="4" t="s">
        <v>217</v>
      </c>
      <c r="E307" s="4" t="s">
        <v>142</v>
      </c>
      <c r="F307" s="4" t="n">
        <v>2</v>
      </c>
      <c r="G307" s="4" t="s">
        <v>897</v>
      </c>
      <c r="H307" s="4" t="s">
        <v>73</v>
      </c>
      <c r="I307" s="4" t="s">
        <v>898</v>
      </c>
      <c r="J307" s="6" t="n">
        <f aca="false">IFERROR(DATEVALUE(B307),"")</f>
        <v>45344</v>
      </c>
      <c r="K307" s="4" t="str">
        <f aca="false">IF(A307="","",PROPER(TRIM(C307)))</f>
        <v>Midwest</v>
      </c>
      <c r="L307" s="4" t="str">
        <f aca="false">IF(A307="","",PROPER(TRIM(D307)))</f>
        <v>Apparel</v>
      </c>
      <c r="M307" s="4" t="n">
        <f aca="false">IFERROR(VALUE(F307),0)</f>
        <v>2</v>
      </c>
      <c r="N307" s="7" t="n">
        <f aca="false">IFERROR(VALUE(SUBSTITUTE(G307,"$","")),0)</f>
        <v>168.8</v>
      </c>
      <c r="O307" s="4" t="n">
        <f aca="false">IF(A307="",0,IF(COUNTIF($A$2:A307,A307)&gt;1,1,0))</f>
        <v>0</v>
      </c>
      <c r="P307" s="4" t="n">
        <f aca="false">IF(AND(A307&lt;&gt;"",J307&lt;&gt;"",M307&gt;0,N307&gt;0,O307=0),1,0)</f>
        <v>1</v>
      </c>
      <c r="Q307" s="7" t="n">
        <f aca="false">IF(P307=1,M307*N307,0)</f>
        <v>337.6</v>
      </c>
    </row>
    <row r="308" customFormat="false" ht="15" hidden="false" customHeight="false" outlineLevel="0" collapsed="false">
      <c r="A308" s="4" t="n">
        <v>10224</v>
      </c>
      <c r="B308" s="4" t="s">
        <v>371</v>
      </c>
      <c r="C308" s="4" t="s">
        <v>105</v>
      </c>
      <c r="D308" s="4" t="s">
        <v>179</v>
      </c>
      <c r="E308" s="4" t="s">
        <v>94</v>
      </c>
      <c r="F308" s="4" t="n">
        <v>2</v>
      </c>
      <c r="G308" s="4" t="s">
        <v>899</v>
      </c>
      <c r="H308" s="4" t="s">
        <v>47</v>
      </c>
      <c r="I308" s="4" t="s">
        <v>162</v>
      </c>
      <c r="J308" s="6" t="n">
        <f aca="false">IFERROR(DATEVALUE(B308),"")</f>
        <v>45488</v>
      </c>
      <c r="K308" s="4" t="str">
        <f aca="false">IF(A308="","",PROPER(TRIM(C308)))</f>
        <v>Midwest</v>
      </c>
      <c r="L308" s="4" t="str">
        <f aca="false">IF(A308="","",PROPER(TRIM(D308)))</f>
        <v>Climbing Gear</v>
      </c>
      <c r="M308" s="4" t="n">
        <f aca="false">IFERROR(VALUE(F308),0)</f>
        <v>2</v>
      </c>
      <c r="N308" s="7" t="n">
        <f aca="false">IFERROR(VALUE(SUBSTITUTE(G308,"$","")),0)</f>
        <v>180.98</v>
      </c>
      <c r="O308" s="4" t="n">
        <f aca="false">IF(A308="",0,IF(COUNTIF($A$2:A308,A308)&gt;1,1,0))</f>
        <v>0</v>
      </c>
      <c r="P308" s="4" t="n">
        <f aca="false">IF(AND(A308&lt;&gt;"",J308&lt;&gt;"",M308&gt;0,N308&gt;0,O308=0),1,0)</f>
        <v>1</v>
      </c>
      <c r="Q308" s="7" t="n">
        <f aca="false">IF(P308=1,M308*N308,0)</f>
        <v>361.96</v>
      </c>
    </row>
    <row r="309" customFormat="false" ht="15" hidden="false" customHeight="false" outlineLevel="0" collapsed="false">
      <c r="A309" s="4" t="n">
        <v>10319</v>
      </c>
      <c r="B309" s="4" t="s">
        <v>900</v>
      </c>
      <c r="C309" s="4" t="s">
        <v>140</v>
      </c>
      <c r="D309" s="4" t="s">
        <v>281</v>
      </c>
      <c r="E309" s="4" t="s">
        <v>448</v>
      </c>
      <c r="F309" s="4" t="n">
        <v>1</v>
      </c>
      <c r="G309" s="4" t="s">
        <v>901</v>
      </c>
      <c r="H309" s="4" t="s">
        <v>54</v>
      </c>
      <c r="I309" s="4" t="s">
        <v>594</v>
      </c>
      <c r="J309" s="6" t="n">
        <f aca="false">IFERROR(DATEVALUE(B309),"")</f>
        <v>45780</v>
      </c>
      <c r="K309" s="4" t="str">
        <f aca="false">IF(A309="","",PROPER(TRIM(C309)))</f>
        <v>South</v>
      </c>
      <c r="L309" s="4" t="str">
        <f aca="false">IF(A309="","",PROPER(TRIM(D309)))</f>
        <v>Camping Gear</v>
      </c>
      <c r="M309" s="4" t="n">
        <f aca="false">IFERROR(VALUE(F309),0)</f>
        <v>1</v>
      </c>
      <c r="N309" s="7" t="n">
        <f aca="false">IFERROR(VALUE(SUBSTITUTE(G309,"$","")),0)</f>
        <v>192.35</v>
      </c>
      <c r="O309" s="4" t="n">
        <f aca="false">IF(A309="",0,IF(COUNTIF($A$2:A309,A309)&gt;1,1,0))</f>
        <v>0</v>
      </c>
      <c r="P309" s="4" t="n">
        <f aca="false">IF(AND(A309&lt;&gt;"",J309&lt;&gt;"",M309&gt;0,N309&gt;0,O309=0),1,0)</f>
        <v>1</v>
      </c>
      <c r="Q309" s="7" t="n">
        <f aca="false">IF(P309=1,M309*N309,0)</f>
        <v>192.35</v>
      </c>
    </row>
    <row r="310" customFormat="false" ht="15" hidden="false" customHeight="false" outlineLevel="0" collapsed="false">
      <c r="A310" s="4" t="n">
        <v>10080</v>
      </c>
      <c r="B310" s="4" t="s">
        <v>902</v>
      </c>
      <c r="C310" s="4" t="s">
        <v>120</v>
      </c>
      <c r="D310" s="4" t="s">
        <v>217</v>
      </c>
      <c r="E310" s="4" t="s">
        <v>89</v>
      </c>
      <c r="F310" s="4" t="n">
        <v>3</v>
      </c>
      <c r="G310" s="4" t="s">
        <v>903</v>
      </c>
      <c r="H310" s="4" t="s">
        <v>54</v>
      </c>
      <c r="I310" s="4" t="s">
        <v>904</v>
      </c>
      <c r="J310" s="6" t="n">
        <f aca="false">IFERROR(DATEVALUE(B310),"")</f>
        <v>45357</v>
      </c>
      <c r="K310" s="4" t="str">
        <f aca="false">IF(A310="","",PROPER(TRIM(C310)))</f>
        <v>East</v>
      </c>
      <c r="L310" s="4" t="str">
        <f aca="false">IF(A310="","",PROPER(TRIM(D310)))</f>
        <v>Apparel</v>
      </c>
      <c r="M310" s="4" t="n">
        <f aca="false">IFERROR(VALUE(F310),0)</f>
        <v>3</v>
      </c>
      <c r="N310" s="7" t="n">
        <f aca="false">IFERROR(VALUE(SUBSTITUTE(G310,"$","")),0)</f>
        <v>60.75</v>
      </c>
      <c r="O310" s="4" t="n">
        <f aca="false">IF(A310="",0,IF(COUNTIF($A$2:A310,A310)&gt;1,1,0))</f>
        <v>0</v>
      </c>
      <c r="P310" s="4" t="n">
        <f aca="false">IF(AND(A310&lt;&gt;"",J310&lt;&gt;"",M310&gt;0,N310&gt;0,O310=0),1,0)</f>
        <v>1</v>
      </c>
      <c r="Q310" s="7" t="n">
        <f aca="false">IF(P310=1,M310*N310,0)</f>
        <v>182.25</v>
      </c>
    </row>
    <row r="311" customFormat="false" ht="15" hidden="false" customHeight="false" outlineLevel="0" collapsed="false">
      <c r="A311" s="4" t="n">
        <v>10408</v>
      </c>
      <c r="B311" s="4" t="s">
        <v>905</v>
      </c>
      <c r="C311" s="4" t="s">
        <v>93</v>
      </c>
      <c r="D311" s="4" t="s">
        <v>51</v>
      </c>
      <c r="E311" s="4" t="s">
        <v>52</v>
      </c>
      <c r="F311" s="4" t="n">
        <v>1</v>
      </c>
      <c r="G311" s="4" t="s">
        <v>906</v>
      </c>
      <c r="H311" s="4" t="s">
        <v>54</v>
      </c>
      <c r="I311" s="4" t="s">
        <v>323</v>
      </c>
      <c r="J311" s="6" t="n">
        <f aca="false">IFERROR(DATEVALUE(B311),"")</f>
        <v>45423</v>
      </c>
      <c r="K311" s="4" t="str">
        <f aca="false">IF(A311="","",PROPER(TRIM(C311)))</f>
        <v>West</v>
      </c>
      <c r="L311" s="4" t="str">
        <f aca="false">IF(A311="","",PROPER(TRIM(D311)))</f>
        <v>Accessories</v>
      </c>
      <c r="M311" s="4" t="n">
        <f aca="false">IFERROR(VALUE(F311),0)</f>
        <v>1</v>
      </c>
      <c r="N311" s="7" t="n">
        <f aca="false">IFERROR(VALUE(SUBSTITUTE(G311,"$","")),0)</f>
        <v>83.65</v>
      </c>
      <c r="O311" s="4" t="n">
        <f aca="false">IF(A311="",0,IF(COUNTIF($A$2:A311,A311)&gt;1,1,0))</f>
        <v>0</v>
      </c>
      <c r="P311" s="4" t="n">
        <f aca="false">IF(AND(A311&lt;&gt;"",J311&lt;&gt;"",M311&gt;0,N311&gt;0,O311=0),1,0)</f>
        <v>1</v>
      </c>
      <c r="Q311" s="7" t="n">
        <f aca="false">IF(P311=1,M311*N311,0)</f>
        <v>83.65</v>
      </c>
    </row>
    <row r="312" customFormat="false" ht="15" hidden="false" customHeight="false" outlineLevel="0" collapsed="false">
      <c r="A312" s="4" t="n">
        <v>10209</v>
      </c>
      <c r="B312" s="4" t="s">
        <v>907</v>
      </c>
      <c r="C312" s="4" t="s">
        <v>120</v>
      </c>
      <c r="D312" s="4" t="s">
        <v>101</v>
      </c>
      <c r="E312" s="4" t="s">
        <v>160</v>
      </c>
      <c r="F312" s="4" t="n">
        <v>1</v>
      </c>
      <c r="G312" s="4" t="s">
        <v>908</v>
      </c>
      <c r="H312" s="4" t="s">
        <v>54</v>
      </c>
      <c r="I312" s="4" t="s">
        <v>289</v>
      </c>
      <c r="J312" s="6" t="n">
        <f aca="false">IFERROR(DATEVALUE(B312),"")</f>
        <v>45345</v>
      </c>
      <c r="K312" s="4" t="str">
        <f aca="false">IF(A312="","",PROPER(TRIM(C312)))</f>
        <v>East</v>
      </c>
      <c r="L312" s="4" t="str">
        <f aca="false">IF(A312="","",PROPER(TRIM(D312)))</f>
        <v>Accessories</v>
      </c>
      <c r="M312" s="4" t="n">
        <f aca="false">IFERROR(VALUE(F312),0)</f>
        <v>1</v>
      </c>
      <c r="N312" s="7" t="n">
        <f aca="false">IFERROR(VALUE(SUBSTITUTE(G312,"$","")),0)</f>
        <v>23.82</v>
      </c>
      <c r="O312" s="4" t="n">
        <f aca="false">IF(A312="",0,IF(COUNTIF($A$2:A312,A312)&gt;1,1,0))</f>
        <v>0</v>
      </c>
      <c r="P312" s="4" t="n">
        <f aca="false">IF(AND(A312&lt;&gt;"",J312&lt;&gt;"",M312&gt;0,N312&gt;0,O312=0),1,0)</f>
        <v>1</v>
      </c>
      <c r="Q312" s="7" t="n">
        <f aca="false">IF(P312=1,M312*N312,0)</f>
        <v>23.82</v>
      </c>
    </row>
    <row r="313" customFormat="false" ht="15" hidden="false" customHeight="false" outlineLevel="0" collapsed="false">
      <c r="A313" s="4" t="n">
        <v>10200</v>
      </c>
      <c r="B313" s="4" t="s">
        <v>775</v>
      </c>
      <c r="C313" s="4" t="s">
        <v>120</v>
      </c>
      <c r="D313" s="4" t="s">
        <v>101</v>
      </c>
      <c r="E313" s="4" t="s">
        <v>210</v>
      </c>
      <c r="F313" s="4" t="n">
        <v>2</v>
      </c>
      <c r="G313" s="4" t="s">
        <v>909</v>
      </c>
      <c r="H313" s="4" t="s">
        <v>73</v>
      </c>
      <c r="I313" s="4" t="s">
        <v>910</v>
      </c>
      <c r="J313" s="6" t="n">
        <f aca="false">IFERROR(DATEVALUE(B313),"")</f>
        <v>45297</v>
      </c>
      <c r="K313" s="4" t="str">
        <f aca="false">IF(A313="","",PROPER(TRIM(C313)))</f>
        <v>East</v>
      </c>
      <c r="L313" s="4" t="str">
        <f aca="false">IF(A313="","",PROPER(TRIM(D313)))</f>
        <v>Accessories</v>
      </c>
      <c r="M313" s="4" t="n">
        <f aca="false">IFERROR(VALUE(F313),0)</f>
        <v>2</v>
      </c>
      <c r="N313" s="7" t="n">
        <f aca="false">IFERROR(VALUE(SUBSTITUTE(G313,"$","")),0)</f>
        <v>37.78</v>
      </c>
      <c r="O313" s="4" t="n">
        <f aca="false">IF(A313="",0,IF(COUNTIF($A$2:A313,A313)&gt;1,1,0))</f>
        <v>0</v>
      </c>
      <c r="P313" s="4" t="n">
        <f aca="false">IF(AND(A313&lt;&gt;"",J313&lt;&gt;"",M313&gt;0,N313&gt;0,O313=0),1,0)</f>
        <v>1</v>
      </c>
      <c r="Q313" s="7" t="n">
        <f aca="false">IF(P313=1,M313*N313,0)</f>
        <v>75.56</v>
      </c>
    </row>
    <row r="314" customFormat="false" ht="15" hidden="false" customHeight="false" outlineLevel="0" collapsed="false">
      <c r="A314" s="4" t="n">
        <v>10622</v>
      </c>
      <c r="B314" s="4" t="s">
        <v>911</v>
      </c>
      <c r="C314" s="4" t="s">
        <v>155</v>
      </c>
      <c r="D314" s="4" t="s">
        <v>129</v>
      </c>
      <c r="E314" s="4" t="s">
        <v>59</v>
      </c>
      <c r="F314" s="4" t="n">
        <v>1</v>
      </c>
      <c r="G314" s="4" t="s">
        <v>912</v>
      </c>
      <c r="H314" s="4" t="s">
        <v>73</v>
      </c>
      <c r="I314" s="4" t="s">
        <v>913</v>
      </c>
      <c r="J314" s="6" t="n">
        <f aca="false">IFERROR(DATEVALUE(B314),"")</f>
        <v>45787</v>
      </c>
      <c r="K314" s="4" t="str">
        <f aca="false">IF(A314="","",PROPER(TRIM(C314)))</f>
        <v>South</v>
      </c>
      <c r="L314" s="4" t="str">
        <f aca="false">IF(A314="","",PROPER(TRIM(D314)))</f>
        <v>Climbing Gear</v>
      </c>
      <c r="M314" s="4" t="n">
        <f aca="false">IFERROR(VALUE(F314),0)</f>
        <v>1</v>
      </c>
      <c r="N314" s="7" t="n">
        <f aca="false">IFERROR(VALUE(SUBSTITUTE(G314,"$","")),0)</f>
        <v>41.49</v>
      </c>
      <c r="O314" s="4" t="n">
        <f aca="false">IF(A314="",0,IF(COUNTIF($A$2:A314,A314)&gt;1,1,0))</f>
        <v>0</v>
      </c>
      <c r="P314" s="4" t="n">
        <f aca="false">IF(AND(A314&lt;&gt;"",J314&lt;&gt;"",M314&gt;0,N314&gt;0,O314=0),1,0)</f>
        <v>1</v>
      </c>
      <c r="Q314" s="7" t="n">
        <f aca="false">IF(P314=1,M314*N314,0)</f>
        <v>41.49</v>
      </c>
    </row>
    <row r="315" customFormat="false" ht="15" hidden="false" customHeight="false" outlineLevel="0" collapsed="false">
      <c r="A315" s="4" t="n">
        <v>10528</v>
      </c>
      <c r="B315" s="4" t="s">
        <v>777</v>
      </c>
      <c r="C315" s="4" t="s">
        <v>149</v>
      </c>
      <c r="D315" s="4" t="s">
        <v>150</v>
      </c>
      <c r="E315" s="4" t="s">
        <v>151</v>
      </c>
      <c r="F315" s="4" t="n">
        <v>1</v>
      </c>
      <c r="G315" s="4" t="s">
        <v>914</v>
      </c>
      <c r="H315" s="4" t="s">
        <v>73</v>
      </c>
      <c r="I315" s="4" t="s">
        <v>915</v>
      </c>
      <c r="J315" s="6" t="n">
        <f aca="false">IFERROR(DATEVALUE(B315),"")</f>
        <v>45364</v>
      </c>
      <c r="K315" s="4" t="str">
        <f aca="false">IF(A315="","",PROPER(TRIM(C315)))</f>
        <v>East</v>
      </c>
      <c r="L315" s="4" t="str">
        <f aca="false">IF(A315="","",PROPER(TRIM(D315)))</f>
        <v>Footwear</v>
      </c>
      <c r="M315" s="4" t="n">
        <f aca="false">IFERROR(VALUE(F315),0)</f>
        <v>1</v>
      </c>
      <c r="N315" s="7" t="n">
        <f aca="false">IFERROR(VALUE(SUBSTITUTE(G315,"$","")),0)</f>
        <v>153.14</v>
      </c>
      <c r="O315" s="4" t="n">
        <f aca="false">IF(A315="",0,IF(COUNTIF($A$2:A315,A315)&gt;1,1,0))</f>
        <v>0</v>
      </c>
      <c r="P315" s="4" t="n">
        <f aca="false">IF(AND(A315&lt;&gt;"",J315&lt;&gt;"",M315&gt;0,N315&gt;0,O315=0),1,0)</f>
        <v>1</v>
      </c>
      <c r="Q315" s="7" t="n">
        <f aca="false">IF(P315=1,M315*N315,0)</f>
        <v>153.14</v>
      </c>
    </row>
    <row r="316" customFormat="false" ht="15" hidden="false" customHeight="false" outlineLevel="0" collapsed="false">
      <c r="A316" s="4" t="n">
        <v>10414</v>
      </c>
      <c r="B316" s="4" t="s">
        <v>812</v>
      </c>
      <c r="C316" s="4" t="s">
        <v>183</v>
      </c>
      <c r="D316" s="4" t="s">
        <v>230</v>
      </c>
      <c r="E316" s="4" t="s">
        <v>243</v>
      </c>
      <c r="F316" s="4" t="n">
        <v>4</v>
      </c>
      <c r="G316" s="4" t="s">
        <v>916</v>
      </c>
      <c r="H316" s="4" t="s">
        <v>54</v>
      </c>
      <c r="I316" s="4" t="s">
        <v>637</v>
      </c>
      <c r="J316" s="6" t="n">
        <f aca="false">IFERROR(DATEVALUE(B316),"")</f>
        <v>45340</v>
      </c>
      <c r="K316" s="4" t="str">
        <f aca="false">IF(A316="","",PROPER(TRIM(C316)))</f>
        <v>West</v>
      </c>
      <c r="L316" s="4" t="str">
        <f aca="false">IF(A316="","",PROPER(TRIM(D316)))</f>
        <v>Apparel</v>
      </c>
      <c r="M316" s="4" t="n">
        <f aca="false">IFERROR(VALUE(F316),0)</f>
        <v>4</v>
      </c>
      <c r="N316" s="7" t="n">
        <f aca="false">IFERROR(VALUE(SUBSTITUTE(G316,"$","")),0)</f>
        <v>83.23</v>
      </c>
      <c r="O316" s="4" t="n">
        <f aca="false">IF(A316="",0,IF(COUNTIF($A$2:A316,A316)&gt;1,1,0))</f>
        <v>0</v>
      </c>
      <c r="P316" s="4" t="n">
        <f aca="false">IF(AND(A316&lt;&gt;"",J316&lt;&gt;"",M316&gt;0,N316&gt;0,O316=0),1,0)</f>
        <v>1</v>
      </c>
      <c r="Q316" s="7" t="n">
        <f aca="false">IF(P316=1,M316*N316,0)</f>
        <v>332.92</v>
      </c>
    </row>
    <row r="317" customFormat="false" ht="15" hidden="false" customHeight="false" outlineLevel="0" collapsed="false">
      <c r="A317" s="4" t="n">
        <v>10239</v>
      </c>
      <c r="B317" s="4" t="s">
        <v>223</v>
      </c>
      <c r="C317" s="4" t="s">
        <v>50</v>
      </c>
      <c r="D317" s="4" t="s">
        <v>602</v>
      </c>
      <c r="E317" s="4" t="s">
        <v>59</v>
      </c>
      <c r="F317" s="4" t="n">
        <v>2</v>
      </c>
      <c r="G317" s="4" t="s">
        <v>917</v>
      </c>
      <c r="H317" s="4" t="s">
        <v>47</v>
      </c>
      <c r="I317" s="4" t="s">
        <v>918</v>
      </c>
      <c r="J317" s="6" t="n">
        <f aca="false">IFERROR(DATEVALUE(B317),"")</f>
        <v>45459</v>
      </c>
      <c r="K317" s="4" t="str">
        <f aca="false">IF(A317="","",PROPER(TRIM(C317)))</f>
        <v>Midwest</v>
      </c>
      <c r="L317" s="4" t="str">
        <f aca="false">IF(A317="","",PROPER(TRIM(D317)))</f>
        <v>Climbing Gear</v>
      </c>
      <c r="M317" s="4" t="n">
        <f aca="false">IFERROR(VALUE(F317),0)</f>
        <v>2</v>
      </c>
      <c r="N317" s="7" t="n">
        <f aca="false">IFERROR(VALUE(SUBSTITUTE(G317,"$","")),0)</f>
        <v>36.75</v>
      </c>
      <c r="O317" s="4" t="n">
        <f aca="false">IF(A317="",0,IF(COUNTIF($A$2:A317,A317)&gt;1,1,0))</f>
        <v>0</v>
      </c>
      <c r="P317" s="4" t="n">
        <f aca="false">IF(AND(A317&lt;&gt;"",J317&lt;&gt;"",M317&gt;0,N317&gt;0,O317=0),1,0)</f>
        <v>1</v>
      </c>
      <c r="Q317" s="7" t="n">
        <f aca="false">IF(P317=1,M317*N317,0)</f>
        <v>73.5</v>
      </c>
    </row>
    <row r="318" customFormat="false" ht="15" hidden="false" customHeight="false" outlineLevel="0" collapsed="false">
      <c r="A318" s="4" t="n">
        <v>10120</v>
      </c>
      <c r="B318" s="4" t="s">
        <v>750</v>
      </c>
      <c r="C318" s="4" t="s">
        <v>120</v>
      </c>
      <c r="D318" s="4" t="s">
        <v>141</v>
      </c>
      <c r="E318" s="4" t="s">
        <v>142</v>
      </c>
      <c r="F318" s="4" t="n">
        <v>5</v>
      </c>
      <c r="G318" s="4" t="s">
        <v>919</v>
      </c>
      <c r="H318" s="4" t="s">
        <v>73</v>
      </c>
      <c r="I318" s="4" t="s">
        <v>920</v>
      </c>
      <c r="J318" s="6" t="n">
        <f aca="false">IFERROR(DATEVALUE(B318),"")</f>
        <v>45436</v>
      </c>
      <c r="K318" s="4" t="str">
        <f aca="false">IF(A318="","",PROPER(TRIM(C318)))</f>
        <v>East</v>
      </c>
      <c r="L318" s="4" t="str">
        <f aca="false">IF(A318="","",PROPER(TRIM(D318)))</f>
        <v>Apparel</v>
      </c>
      <c r="M318" s="4" t="n">
        <f aca="false">IFERROR(VALUE(F318),0)</f>
        <v>5</v>
      </c>
      <c r="N318" s="7" t="n">
        <f aca="false">IFERROR(VALUE(SUBSTITUTE(G318,"$","")),0)</f>
        <v>174.97</v>
      </c>
      <c r="O318" s="4" t="n">
        <f aca="false">IF(A318="",0,IF(COUNTIF($A$2:A318,A318)&gt;1,1,0))</f>
        <v>0</v>
      </c>
      <c r="P318" s="4" t="n">
        <f aca="false">IF(AND(A318&lt;&gt;"",J318&lt;&gt;"",M318&gt;0,N318&gt;0,O318=0),1,0)</f>
        <v>1</v>
      </c>
      <c r="Q318" s="7" t="n">
        <f aca="false">IF(P318=1,M318*N318,0)</f>
        <v>874.85</v>
      </c>
    </row>
    <row r="319" customFormat="false" ht="15" hidden="false" customHeight="false" outlineLevel="0" collapsed="false">
      <c r="A319" s="4" t="n">
        <v>10562</v>
      </c>
      <c r="B319" s="4" t="s">
        <v>921</v>
      </c>
      <c r="C319" s="4" t="s">
        <v>93</v>
      </c>
      <c r="D319" s="4" t="s">
        <v>141</v>
      </c>
      <c r="E319" s="4" t="s">
        <v>142</v>
      </c>
      <c r="F319" s="4" t="n">
        <v>1</v>
      </c>
      <c r="G319" s="4" t="s">
        <v>922</v>
      </c>
      <c r="H319" s="4" t="s">
        <v>47</v>
      </c>
      <c r="I319" s="4" t="s">
        <v>923</v>
      </c>
      <c r="J319" s="6" t="n">
        <f aca="false">IFERROR(DATEVALUE(B319),"")</f>
        <v>45734</v>
      </c>
      <c r="K319" s="4" t="str">
        <f aca="false">IF(A319="","",PROPER(TRIM(C319)))</f>
        <v>West</v>
      </c>
      <c r="L319" s="4" t="str">
        <f aca="false">IF(A319="","",PROPER(TRIM(D319)))</f>
        <v>Apparel</v>
      </c>
      <c r="M319" s="4" t="n">
        <f aca="false">IFERROR(VALUE(F319),0)</f>
        <v>1</v>
      </c>
      <c r="N319" s="7" t="n">
        <f aca="false">IFERROR(VALUE(SUBSTITUTE(G319,"$","")),0)</f>
        <v>197.93</v>
      </c>
      <c r="O319" s="4" t="n">
        <f aca="false">IF(A319="",0,IF(COUNTIF($A$2:A319,A319)&gt;1,1,0))</f>
        <v>0</v>
      </c>
      <c r="P319" s="4" t="n">
        <f aca="false">IF(AND(A319&lt;&gt;"",J319&lt;&gt;"",M319&gt;0,N319&gt;0,O319=0),1,0)</f>
        <v>1</v>
      </c>
      <c r="Q319" s="7" t="n">
        <f aca="false">IF(P319=1,M319*N319,0)</f>
        <v>197.93</v>
      </c>
    </row>
    <row r="320" customFormat="false" ht="15" hidden="false" customHeight="false" outlineLevel="0" collapsed="false">
      <c r="A320" s="4" t="n">
        <v>10360</v>
      </c>
      <c r="B320" s="4" t="s">
        <v>924</v>
      </c>
      <c r="C320" s="4" t="s">
        <v>43</v>
      </c>
      <c r="D320" s="4" t="s">
        <v>58</v>
      </c>
      <c r="E320" s="4" t="s">
        <v>59</v>
      </c>
      <c r="F320" s="4" t="n">
        <v>1</v>
      </c>
      <c r="G320" s="4" t="s">
        <v>925</v>
      </c>
      <c r="H320" s="4" t="s">
        <v>54</v>
      </c>
      <c r="I320" s="4" t="s">
        <v>470</v>
      </c>
      <c r="J320" s="6" t="n">
        <f aca="false">IFERROR(DATEVALUE(B320),"")</f>
        <v>45663</v>
      </c>
      <c r="K320" s="4" t="str">
        <f aca="false">IF(A320="","",PROPER(TRIM(C320)))</f>
        <v>South</v>
      </c>
      <c r="L320" s="4" t="str">
        <f aca="false">IF(A320="","",PROPER(TRIM(D320)))</f>
        <v>Climbing Gear</v>
      </c>
      <c r="M320" s="4" t="n">
        <f aca="false">IFERROR(VALUE(F320),0)</f>
        <v>1</v>
      </c>
      <c r="N320" s="7" t="n">
        <f aca="false">IFERROR(VALUE(SUBSTITUTE(G320,"$","")),0)</f>
        <v>41.62</v>
      </c>
      <c r="O320" s="4" t="n">
        <f aca="false">IF(A320="",0,IF(COUNTIF($A$2:A320,A320)&gt;1,1,0))</f>
        <v>0</v>
      </c>
      <c r="P320" s="4" t="n">
        <f aca="false">IF(AND(A320&lt;&gt;"",J320&lt;&gt;"",M320&gt;0,N320&gt;0,O320=0),1,0)</f>
        <v>1</v>
      </c>
      <c r="Q320" s="7" t="n">
        <f aca="false">IF(P320=1,M320*N320,0)</f>
        <v>41.62</v>
      </c>
    </row>
    <row r="321" customFormat="false" ht="15" hidden="false" customHeight="false" outlineLevel="0" collapsed="false">
      <c r="A321" s="4" t="n">
        <v>10322</v>
      </c>
      <c r="B321" s="4" t="s">
        <v>926</v>
      </c>
      <c r="C321" s="4" t="s">
        <v>80</v>
      </c>
      <c r="D321" s="4" t="s">
        <v>58</v>
      </c>
      <c r="E321" s="4" t="s">
        <v>125</v>
      </c>
      <c r="F321" s="4" t="n">
        <v>5</v>
      </c>
      <c r="G321" s="4" t="s">
        <v>927</v>
      </c>
      <c r="H321" s="4" t="s">
        <v>47</v>
      </c>
      <c r="I321" s="4" t="s">
        <v>928</v>
      </c>
      <c r="J321" s="6" t="n">
        <f aca="false">IFERROR(DATEVALUE(B321),"")</f>
        <v>45687</v>
      </c>
      <c r="K321" s="4" t="str">
        <f aca="false">IF(A321="","",PROPER(TRIM(C321)))</f>
        <v>South</v>
      </c>
      <c r="L321" s="4" t="str">
        <f aca="false">IF(A321="","",PROPER(TRIM(D321)))</f>
        <v>Climbing Gear</v>
      </c>
      <c r="M321" s="4" t="n">
        <f aca="false">IFERROR(VALUE(F321),0)</f>
        <v>5</v>
      </c>
      <c r="N321" s="7" t="n">
        <f aca="false">IFERROR(VALUE(SUBSTITUTE(G321,"$","")),0)</f>
        <v>87.67</v>
      </c>
      <c r="O321" s="4" t="n">
        <f aca="false">IF(A321="",0,IF(COUNTIF($A$2:A321,A321)&gt;1,1,0))</f>
        <v>0</v>
      </c>
      <c r="P321" s="4" t="n">
        <f aca="false">IF(AND(A321&lt;&gt;"",J321&lt;&gt;"",M321&gt;0,N321&gt;0,O321=0),1,0)</f>
        <v>1</v>
      </c>
      <c r="Q321" s="7" t="n">
        <f aca="false">IF(P321=1,M321*N321,0)</f>
        <v>438.35</v>
      </c>
    </row>
    <row r="322" customFormat="false" ht="15" hidden="false" customHeight="false" outlineLevel="0" collapsed="false">
      <c r="A322" s="4" t="n">
        <v>10307</v>
      </c>
      <c r="B322" s="4" t="s">
        <v>929</v>
      </c>
      <c r="C322" s="4" t="s">
        <v>155</v>
      </c>
      <c r="D322" s="4" t="s">
        <v>230</v>
      </c>
      <c r="E322" s="4" t="s">
        <v>116</v>
      </c>
      <c r="F322" s="4" t="n">
        <v>5</v>
      </c>
      <c r="G322" s="4" t="s">
        <v>930</v>
      </c>
      <c r="H322" s="4" t="s">
        <v>47</v>
      </c>
      <c r="I322" s="4" t="s">
        <v>931</v>
      </c>
      <c r="J322" s="6" t="n">
        <f aca="false">IFERROR(DATEVALUE(B322),"")</f>
        <v>45530</v>
      </c>
      <c r="K322" s="4" t="str">
        <f aca="false">IF(A322="","",PROPER(TRIM(C322)))</f>
        <v>South</v>
      </c>
      <c r="L322" s="4" t="str">
        <f aca="false">IF(A322="","",PROPER(TRIM(D322)))</f>
        <v>Apparel</v>
      </c>
      <c r="M322" s="4" t="n">
        <f aca="false">IFERROR(VALUE(F322),0)</f>
        <v>5</v>
      </c>
      <c r="N322" s="7" t="n">
        <f aca="false">IFERROR(VALUE(SUBSTITUTE(G322,"$","")),0)</f>
        <v>79.76</v>
      </c>
      <c r="O322" s="4" t="n">
        <f aca="false">IF(A322="",0,IF(COUNTIF($A$2:A322,A322)&gt;1,1,0))</f>
        <v>0</v>
      </c>
      <c r="P322" s="4" t="n">
        <f aca="false">IF(AND(A322&lt;&gt;"",J322&lt;&gt;"",M322&gt;0,N322&gt;0,O322=0),1,0)</f>
        <v>1</v>
      </c>
      <c r="Q322" s="7" t="n">
        <f aca="false">IF(P322=1,M322*N322,0)</f>
        <v>398.8</v>
      </c>
    </row>
    <row r="323" customFormat="false" ht="15" hidden="false" customHeight="false" outlineLevel="0" collapsed="false">
      <c r="A323" s="4" t="n">
        <v>10332</v>
      </c>
      <c r="B323" s="4" t="s">
        <v>932</v>
      </c>
      <c r="C323" s="4" t="s">
        <v>120</v>
      </c>
      <c r="D323" s="4" t="s">
        <v>58</v>
      </c>
      <c r="E323" s="4" t="s">
        <v>94</v>
      </c>
      <c r="F323" s="4" t="n">
        <v>2</v>
      </c>
      <c r="G323" s="4" t="s">
        <v>933</v>
      </c>
      <c r="H323" s="4" t="s">
        <v>73</v>
      </c>
      <c r="I323" s="4" t="s">
        <v>934</v>
      </c>
      <c r="J323" s="6" t="n">
        <f aca="false">IFERROR(DATEVALUE(B323),"")</f>
        <v>45628</v>
      </c>
      <c r="K323" s="4" t="str">
        <f aca="false">IF(A323="","",PROPER(TRIM(C323)))</f>
        <v>East</v>
      </c>
      <c r="L323" s="4" t="str">
        <f aca="false">IF(A323="","",PROPER(TRIM(D323)))</f>
        <v>Climbing Gear</v>
      </c>
      <c r="M323" s="4" t="n">
        <f aca="false">IFERROR(VALUE(F323),0)</f>
        <v>2</v>
      </c>
      <c r="N323" s="7" t="n">
        <f aca="false">IFERROR(VALUE(SUBSTITUTE(G323,"$","")),0)</f>
        <v>157.08</v>
      </c>
      <c r="O323" s="4" t="n">
        <f aca="false">IF(A323="",0,IF(COUNTIF($A$2:A323,A323)&gt;1,1,0))</f>
        <v>0</v>
      </c>
      <c r="P323" s="4" t="n">
        <f aca="false">IF(AND(A323&lt;&gt;"",J323&lt;&gt;"",M323&gt;0,N323&gt;0,O323=0),1,0)</f>
        <v>1</v>
      </c>
      <c r="Q323" s="7" t="n">
        <f aca="false">IF(P323=1,M323*N323,0)</f>
        <v>314.16</v>
      </c>
    </row>
    <row r="324" customFormat="false" ht="15" hidden="false" customHeight="false" outlineLevel="0" collapsed="false">
      <c r="A324" s="4" t="n">
        <v>10002</v>
      </c>
      <c r="B324" s="4" t="s">
        <v>935</v>
      </c>
      <c r="C324" s="4" t="s">
        <v>80</v>
      </c>
      <c r="D324" s="4" t="s">
        <v>81</v>
      </c>
      <c r="E324" s="4" t="s">
        <v>77</v>
      </c>
      <c r="F324" s="4" t="n">
        <v>5</v>
      </c>
      <c r="G324" s="4" t="s">
        <v>936</v>
      </c>
      <c r="H324" s="4" t="s">
        <v>47</v>
      </c>
      <c r="I324" s="4" t="s">
        <v>650</v>
      </c>
      <c r="J324" s="6" t="n">
        <f aca="false">IFERROR(DATEVALUE(B324),"")</f>
        <v>45355</v>
      </c>
      <c r="K324" s="4" t="str">
        <f aca="false">IF(A324="","",PROPER(TRIM(C324)))</f>
        <v>South</v>
      </c>
      <c r="L324" s="4" t="str">
        <f aca="false">IF(A324="","",PROPER(TRIM(D324)))</f>
        <v>Footwear</v>
      </c>
      <c r="M324" s="4" t="n">
        <f aca="false">IFERROR(VALUE(F324),0)</f>
        <v>5</v>
      </c>
      <c r="N324" s="7" t="n">
        <f aca="false">IFERROR(VALUE(SUBSTITUTE(G324,"$","")),0)</f>
        <v>147.78</v>
      </c>
      <c r="O324" s="4" t="n">
        <f aca="false">IF(A324="",0,IF(COUNTIF($A$2:A324,A324)&gt;1,1,0))</f>
        <v>0</v>
      </c>
      <c r="P324" s="4" t="n">
        <f aca="false">IF(AND(A324&lt;&gt;"",J324&lt;&gt;"",M324&gt;0,N324&gt;0,O324=0),1,0)</f>
        <v>1</v>
      </c>
      <c r="Q324" s="7" t="n">
        <f aca="false">IF(P324=1,M324*N324,0)</f>
        <v>738.9</v>
      </c>
    </row>
    <row r="325" customFormat="false" ht="15" hidden="false" customHeight="false" outlineLevel="0" collapsed="false">
      <c r="A325" s="4" t="n">
        <v>10227</v>
      </c>
      <c r="B325" s="4" t="s">
        <v>444</v>
      </c>
      <c r="C325" s="4" t="s">
        <v>110</v>
      </c>
      <c r="D325" s="4" t="s">
        <v>230</v>
      </c>
      <c r="E325" s="4" t="s">
        <v>116</v>
      </c>
      <c r="F325" s="4" t="n">
        <v>4</v>
      </c>
      <c r="G325" s="4" t="s">
        <v>937</v>
      </c>
      <c r="H325" s="4" t="s">
        <v>73</v>
      </c>
      <c r="I325" s="4" t="s">
        <v>938</v>
      </c>
      <c r="J325" s="6" t="n">
        <f aca="false">IFERROR(DATEVALUE(B325),"")</f>
        <v>45496</v>
      </c>
      <c r="K325" s="4" t="str">
        <f aca="false">IF(A325="","",PROPER(TRIM(C325)))</f>
        <v>Midwest</v>
      </c>
      <c r="L325" s="4" t="str">
        <f aca="false">IF(A325="","",PROPER(TRIM(D325)))</f>
        <v>Apparel</v>
      </c>
      <c r="M325" s="4" t="n">
        <f aca="false">IFERROR(VALUE(F325),0)</f>
        <v>4</v>
      </c>
      <c r="N325" s="7" t="n">
        <f aca="false">IFERROR(VALUE(SUBSTITUTE(G325,"$","")),0)</f>
        <v>63.95</v>
      </c>
      <c r="O325" s="4" t="n">
        <f aca="false">IF(A325="",0,IF(COUNTIF($A$2:A325,A325)&gt;1,1,0))</f>
        <v>0</v>
      </c>
      <c r="P325" s="4" t="n">
        <f aca="false">IF(AND(A325&lt;&gt;"",J325&lt;&gt;"",M325&gt;0,N325&gt;0,O325=0),1,0)</f>
        <v>1</v>
      </c>
      <c r="Q325" s="7" t="n">
        <f aca="false">IF(P325=1,M325*N325,0)</f>
        <v>255.8</v>
      </c>
    </row>
    <row r="326" customFormat="false" ht="15" hidden="false" customHeight="false" outlineLevel="0" collapsed="false">
      <c r="A326" s="4" t="n">
        <v>10415</v>
      </c>
      <c r="B326" s="4" t="s">
        <v>518</v>
      </c>
      <c r="C326" s="4" t="s">
        <v>93</v>
      </c>
      <c r="D326" s="4" t="s">
        <v>70</v>
      </c>
      <c r="E326" s="4" t="s">
        <v>251</v>
      </c>
      <c r="F326" s="4" t="n">
        <v>2</v>
      </c>
      <c r="G326" s="4" t="s">
        <v>939</v>
      </c>
      <c r="H326" s="4" t="s">
        <v>73</v>
      </c>
      <c r="I326" s="4" t="s">
        <v>543</v>
      </c>
      <c r="J326" s="6" t="n">
        <f aca="false">IFERROR(DATEVALUE(B326),"")</f>
        <v>45739</v>
      </c>
      <c r="K326" s="4" t="str">
        <f aca="false">IF(A326="","",PROPER(TRIM(C326)))</f>
        <v>West</v>
      </c>
      <c r="L326" s="4" t="str">
        <f aca="false">IF(A326="","",PROPER(TRIM(D326)))</f>
        <v>Camping Gear</v>
      </c>
      <c r="M326" s="4" t="n">
        <f aca="false">IFERROR(VALUE(F326),0)</f>
        <v>2</v>
      </c>
      <c r="N326" s="7" t="n">
        <f aca="false">IFERROR(VALUE(SUBSTITUTE(G326,"$","")),0)</f>
        <v>77.78</v>
      </c>
      <c r="O326" s="4" t="n">
        <f aca="false">IF(A326="",0,IF(COUNTIF($A$2:A326,A326)&gt;1,1,0))</f>
        <v>0</v>
      </c>
      <c r="P326" s="4" t="n">
        <f aca="false">IF(AND(A326&lt;&gt;"",J326&lt;&gt;"",M326&gt;0,N326&gt;0,O326=0),1,0)</f>
        <v>1</v>
      </c>
      <c r="Q326" s="7" t="n">
        <f aca="false">IF(P326=1,M326*N326,0)</f>
        <v>155.56</v>
      </c>
    </row>
    <row r="327" customFormat="false" ht="15" hidden="false" customHeight="false" outlineLevel="0" collapsed="false">
      <c r="A327" s="4" t="n">
        <v>10642</v>
      </c>
      <c r="B327" s="4" t="s">
        <v>940</v>
      </c>
      <c r="C327" s="4" t="s">
        <v>50</v>
      </c>
      <c r="D327" s="4" t="s">
        <v>387</v>
      </c>
      <c r="E327" s="4" t="s">
        <v>448</v>
      </c>
      <c r="F327" s="4" t="n">
        <v>1</v>
      </c>
      <c r="G327" s="4" t="s">
        <v>941</v>
      </c>
      <c r="H327" s="4" t="s">
        <v>47</v>
      </c>
      <c r="I327" s="4" t="s">
        <v>208</v>
      </c>
      <c r="J327" s="6" t="n">
        <f aca="false">IFERROR(DATEVALUE(B327),"")</f>
        <v>45424</v>
      </c>
      <c r="K327" s="4" t="str">
        <f aca="false">IF(A327="","",PROPER(TRIM(C327)))</f>
        <v>Midwest</v>
      </c>
      <c r="L327" s="4" t="str">
        <f aca="false">IF(A327="","",PROPER(TRIM(D327)))</f>
        <v>Camping Gear</v>
      </c>
      <c r="M327" s="4" t="n">
        <f aca="false">IFERROR(VALUE(F327),0)</f>
        <v>1</v>
      </c>
      <c r="N327" s="7" t="n">
        <f aca="false">IFERROR(VALUE(SUBSTITUTE(G327,"$","")),0)</f>
        <v>217.67</v>
      </c>
      <c r="O327" s="4" t="n">
        <f aca="false">IF(A327="",0,IF(COUNTIF($A$2:A327,A327)&gt;1,1,0))</f>
        <v>0</v>
      </c>
      <c r="P327" s="4" t="n">
        <f aca="false">IF(AND(A327&lt;&gt;"",J327&lt;&gt;"",M327&gt;0,N327&gt;0,O327=0),1,0)</f>
        <v>1</v>
      </c>
      <c r="Q327" s="7" t="n">
        <f aca="false">IF(P327=1,M327*N327,0)</f>
        <v>217.67</v>
      </c>
    </row>
    <row r="328" customFormat="false" ht="15" hidden="false" customHeight="false" outlineLevel="0" collapsed="false">
      <c r="A328" s="4" t="n">
        <v>10193</v>
      </c>
      <c r="B328" s="4" t="s">
        <v>942</v>
      </c>
      <c r="C328" s="4" t="s">
        <v>110</v>
      </c>
      <c r="D328" s="4" t="s">
        <v>101</v>
      </c>
      <c r="E328" s="4" t="s">
        <v>160</v>
      </c>
      <c r="F328" s="4" t="n">
        <v>1</v>
      </c>
      <c r="G328" s="4" t="s">
        <v>943</v>
      </c>
      <c r="H328" s="4" t="s">
        <v>47</v>
      </c>
      <c r="I328" s="4" t="s">
        <v>944</v>
      </c>
      <c r="J328" s="6" t="n">
        <f aca="false">IFERROR(DATEVALUE(B328),"")</f>
        <v>45654</v>
      </c>
      <c r="K328" s="4" t="str">
        <f aca="false">IF(A328="","",PROPER(TRIM(C328)))</f>
        <v>Midwest</v>
      </c>
      <c r="L328" s="4" t="str">
        <f aca="false">IF(A328="","",PROPER(TRIM(D328)))</f>
        <v>Accessories</v>
      </c>
      <c r="M328" s="4" t="n">
        <f aca="false">IFERROR(VALUE(F328),0)</f>
        <v>1</v>
      </c>
      <c r="N328" s="7" t="n">
        <f aca="false">IFERROR(VALUE(SUBSTITUTE(G328,"$","")),0)</f>
        <v>24.91</v>
      </c>
      <c r="O328" s="4" t="n">
        <f aca="false">IF(A328="",0,IF(COUNTIF($A$2:A328,A328)&gt;1,1,0))</f>
        <v>0</v>
      </c>
      <c r="P328" s="4" t="n">
        <f aca="false">IF(AND(A328&lt;&gt;"",J328&lt;&gt;"",M328&gt;0,N328&gt;0,O328=0),1,0)</f>
        <v>1</v>
      </c>
      <c r="Q328" s="7" t="n">
        <f aca="false">IF(P328=1,M328*N328,0)</f>
        <v>24.91</v>
      </c>
    </row>
    <row r="329" customFormat="false" ht="15" hidden="false" customHeight="false" outlineLevel="0" collapsed="false">
      <c r="A329" s="4" t="n">
        <v>10086</v>
      </c>
      <c r="B329" s="4" t="s">
        <v>945</v>
      </c>
      <c r="C329" s="4" t="s">
        <v>120</v>
      </c>
      <c r="D329" s="4" t="s">
        <v>281</v>
      </c>
      <c r="E329" s="4" t="s">
        <v>448</v>
      </c>
      <c r="F329" s="4" t="n">
        <v>-1</v>
      </c>
      <c r="G329" s="4" t="s">
        <v>946</v>
      </c>
      <c r="H329" s="4" t="s">
        <v>47</v>
      </c>
      <c r="I329" s="4" t="s">
        <v>295</v>
      </c>
      <c r="J329" s="6" t="n">
        <f aca="false">IFERROR(DATEVALUE(B329),"")</f>
        <v>45371</v>
      </c>
      <c r="K329" s="4" t="str">
        <f aca="false">IF(A329="","",PROPER(TRIM(C329)))</f>
        <v>East</v>
      </c>
      <c r="L329" s="4" t="str">
        <f aca="false">IF(A329="","",PROPER(TRIM(D329)))</f>
        <v>Camping Gear</v>
      </c>
      <c r="M329" s="4" t="n">
        <f aca="false">IFERROR(VALUE(F329),0)</f>
        <v>-1</v>
      </c>
      <c r="N329" s="7" t="n">
        <f aca="false">IFERROR(VALUE(SUBSTITUTE(G329,"$","")),0)</f>
        <v>189.59</v>
      </c>
      <c r="O329" s="4" t="n">
        <f aca="false">IF(A329="",0,IF(COUNTIF($A$2:A329,A329)&gt;1,1,0))</f>
        <v>0</v>
      </c>
      <c r="P329" s="4" t="n">
        <f aca="false">IF(AND(A329&lt;&gt;"",J329&lt;&gt;"",M329&gt;0,N329&gt;0,O329=0),1,0)</f>
        <v>0</v>
      </c>
      <c r="Q329" s="7" t="n">
        <f aca="false">IF(P329=1,M329*N329,0)</f>
        <v>0</v>
      </c>
    </row>
    <row r="330" customFormat="false" ht="15" hidden="false" customHeight="false" outlineLevel="0" collapsed="false">
      <c r="A330" s="4" t="n">
        <v>10205</v>
      </c>
      <c r="B330" s="4" t="s">
        <v>947</v>
      </c>
      <c r="C330" s="4" t="s">
        <v>50</v>
      </c>
      <c r="D330" s="4" t="s">
        <v>64</v>
      </c>
      <c r="E330" s="4" t="s">
        <v>111</v>
      </c>
      <c r="F330" s="4" t="n">
        <v>1</v>
      </c>
      <c r="G330" s="4" t="s">
        <v>948</v>
      </c>
      <c r="H330" s="4" t="s">
        <v>54</v>
      </c>
      <c r="I330" s="4" t="s">
        <v>809</v>
      </c>
      <c r="J330" s="6" t="n">
        <f aca="false">IFERROR(DATEVALUE(B330),"")</f>
        <v>45478</v>
      </c>
      <c r="K330" s="4" t="str">
        <f aca="false">IF(A330="","",PROPER(TRIM(C330)))</f>
        <v>Midwest</v>
      </c>
      <c r="L330" s="4" t="str">
        <f aca="false">IF(A330="","",PROPER(TRIM(D330)))</f>
        <v>Footwear</v>
      </c>
      <c r="M330" s="4" t="n">
        <f aca="false">IFERROR(VALUE(F330),0)</f>
        <v>1</v>
      </c>
      <c r="N330" s="7" t="n">
        <f aca="false">IFERROR(VALUE(SUBSTITUTE(G330,"$","")),0)</f>
        <v>93.48</v>
      </c>
      <c r="O330" s="4" t="n">
        <f aca="false">IF(A330="",0,IF(COUNTIF($A$2:A330,A330)&gt;1,1,0))</f>
        <v>0</v>
      </c>
      <c r="P330" s="4" t="n">
        <f aca="false">IF(AND(A330&lt;&gt;"",J330&lt;&gt;"",M330&gt;0,N330&gt;0,O330=0),1,0)</f>
        <v>1</v>
      </c>
      <c r="Q330" s="7" t="n">
        <f aca="false">IF(P330=1,M330*N330,0)</f>
        <v>93.48</v>
      </c>
    </row>
    <row r="331" customFormat="false" ht="15" hidden="false" customHeight="false" outlineLevel="0" collapsed="false">
      <c r="A331" s="4" t="n">
        <v>10221</v>
      </c>
      <c r="B331" s="4" t="s">
        <v>949</v>
      </c>
      <c r="C331" s="4" t="s">
        <v>93</v>
      </c>
      <c r="D331" s="4" t="s">
        <v>129</v>
      </c>
      <c r="E331" s="4" t="s">
        <v>94</v>
      </c>
      <c r="F331" s="4" t="n">
        <v>1</v>
      </c>
      <c r="G331" s="4" t="s">
        <v>950</v>
      </c>
      <c r="H331" s="4" t="s">
        <v>54</v>
      </c>
      <c r="I331" s="4" t="s">
        <v>951</v>
      </c>
      <c r="J331" s="6" t="n">
        <f aca="false">IFERROR(DATEVALUE(B331),"")</f>
        <v>45445</v>
      </c>
      <c r="K331" s="4" t="str">
        <f aca="false">IF(A331="","",PROPER(TRIM(C331)))</f>
        <v>West</v>
      </c>
      <c r="L331" s="4" t="str">
        <f aca="false">IF(A331="","",PROPER(TRIM(D331)))</f>
        <v>Climbing Gear</v>
      </c>
      <c r="M331" s="4" t="n">
        <f aca="false">IFERROR(VALUE(F331),0)</f>
        <v>1</v>
      </c>
      <c r="N331" s="7" t="n">
        <f aca="false">IFERROR(VALUE(SUBSTITUTE(G331,"$","")),0)</f>
        <v>174.34</v>
      </c>
      <c r="O331" s="4" t="n">
        <f aca="false">IF(A331="",0,IF(COUNTIF($A$2:A331,A331)&gt;1,1,0))</f>
        <v>0</v>
      </c>
      <c r="P331" s="4" t="n">
        <f aca="false">IF(AND(A331&lt;&gt;"",J331&lt;&gt;"",M331&gt;0,N331&gt;0,O331=0),1,0)</f>
        <v>1</v>
      </c>
      <c r="Q331" s="7" t="n">
        <f aca="false">IF(P331=1,M331*N331,0)</f>
        <v>174.34</v>
      </c>
    </row>
    <row r="332" customFormat="false" ht="15" hidden="false" customHeight="false" outlineLevel="0" collapsed="false">
      <c r="A332" s="4" t="n">
        <v>10461</v>
      </c>
      <c r="B332" s="4" t="s">
        <v>952</v>
      </c>
      <c r="C332" s="4" t="s">
        <v>120</v>
      </c>
      <c r="D332" s="4" t="s">
        <v>106</v>
      </c>
      <c r="E332" s="4" t="s">
        <v>65</v>
      </c>
      <c r="F332" s="4" t="n">
        <v>2</v>
      </c>
      <c r="G332" s="4" t="s">
        <v>953</v>
      </c>
      <c r="H332" s="4" t="s">
        <v>54</v>
      </c>
      <c r="I332" s="4" t="s">
        <v>832</v>
      </c>
      <c r="J332" s="6" t="n">
        <f aca="false">IFERROR(DATEVALUE(B332),"")</f>
        <v>45789</v>
      </c>
      <c r="K332" s="4" t="str">
        <f aca="false">IF(A332="","",PROPER(TRIM(C332)))</f>
        <v>East</v>
      </c>
      <c r="L332" s="4" t="str">
        <f aca="false">IF(A332="","",PROPER(TRIM(D332)))</f>
        <v>Footwear</v>
      </c>
      <c r="M332" s="4" t="n">
        <f aca="false">IFERROR(VALUE(F332),0)</f>
        <v>2</v>
      </c>
      <c r="N332" s="7" t="n">
        <f aca="false">IFERROR(VALUE(SUBSTITUTE(G332,"$","")),0)</f>
        <v>54.29</v>
      </c>
      <c r="O332" s="4" t="n">
        <f aca="false">IF(A332="",0,IF(COUNTIF($A$2:A332,A332)&gt;1,1,0))</f>
        <v>0</v>
      </c>
      <c r="P332" s="4" t="n">
        <f aca="false">IF(AND(A332&lt;&gt;"",J332&lt;&gt;"",M332&gt;0,N332&gt;0,O332=0),1,0)</f>
        <v>1</v>
      </c>
      <c r="Q332" s="7" t="n">
        <f aca="false">IF(P332=1,M332*N332,0)</f>
        <v>108.58</v>
      </c>
    </row>
    <row r="333" customFormat="false" ht="15" hidden="false" customHeight="false" outlineLevel="0" collapsed="false">
      <c r="A333" s="4" t="n">
        <v>10273</v>
      </c>
      <c r="B333" s="4" t="s">
        <v>954</v>
      </c>
      <c r="C333" s="4" t="s">
        <v>43</v>
      </c>
      <c r="D333" s="4" t="s">
        <v>217</v>
      </c>
      <c r="E333" s="4" t="s">
        <v>243</v>
      </c>
      <c r="F333" s="4" t="n">
        <v>3</v>
      </c>
      <c r="G333" s="4" t="s">
        <v>955</v>
      </c>
      <c r="H333" s="4" t="s">
        <v>54</v>
      </c>
      <c r="I333" s="4" t="s">
        <v>437</v>
      </c>
      <c r="J333" s="6" t="n">
        <f aca="false">IFERROR(DATEVALUE(B333),"")</f>
        <v>45823</v>
      </c>
      <c r="K333" s="4" t="str">
        <f aca="false">IF(A333="","",PROPER(TRIM(C333)))</f>
        <v>South</v>
      </c>
      <c r="L333" s="4" t="str">
        <f aca="false">IF(A333="","",PROPER(TRIM(D333)))</f>
        <v>Apparel</v>
      </c>
      <c r="M333" s="4" t="n">
        <f aca="false">IFERROR(VALUE(F333),0)</f>
        <v>3</v>
      </c>
      <c r="N333" s="7" t="n">
        <f aca="false">IFERROR(VALUE(SUBSTITUTE(G333,"$","")),0)</f>
        <v>85.21</v>
      </c>
      <c r="O333" s="4" t="n">
        <f aca="false">IF(A333="",0,IF(COUNTIF($A$2:A333,A333)&gt;1,1,0))</f>
        <v>0</v>
      </c>
      <c r="P333" s="4" t="n">
        <f aca="false">IF(AND(A333&lt;&gt;"",J333&lt;&gt;"",M333&gt;0,N333&gt;0,O333=0),1,0)</f>
        <v>1</v>
      </c>
      <c r="Q333" s="7" t="n">
        <f aca="false">IF(P333=1,M333*N333,0)</f>
        <v>255.63</v>
      </c>
    </row>
    <row r="334" customFormat="false" ht="15" hidden="false" customHeight="false" outlineLevel="0" collapsed="false">
      <c r="A334" s="4" t="n">
        <v>10443</v>
      </c>
      <c r="B334" s="4" t="s">
        <v>956</v>
      </c>
      <c r="C334" s="4" t="s">
        <v>93</v>
      </c>
      <c r="D334" s="4" t="s">
        <v>179</v>
      </c>
      <c r="E334" s="4" t="s">
        <v>59</v>
      </c>
      <c r="F334" s="4" t="n">
        <v>2</v>
      </c>
      <c r="G334" s="4" t="s">
        <v>957</v>
      </c>
      <c r="H334" s="4" t="s">
        <v>47</v>
      </c>
      <c r="I334" s="4" t="s">
        <v>958</v>
      </c>
      <c r="J334" s="6" t="n">
        <f aca="false">IFERROR(DATEVALUE(B334),"")</f>
        <v>45696</v>
      </c>
      <c r="K334" s="4" t="str">
        <f aca="false">IF(A334="","",PROPER(TRIM(C334)))</f>
        <v>West</v>
      </c>
      <c r="L334" s="4" t="str">
        <f aca="false">IF(A334="","",PROPER(TRIM(D334)))</f>
        <v>Climbing Gear</v>
      </c>
      <c r="M334" s="4" t="n">
        <f aca="false">IFERROR(VALUE(F334),0)</f>
        <v>2</v>
      </c>
      <c r="N334" s="7" t="n">
        <f aca="false">IFERROR(VALUE(SUBSTITUTE(G334,"$","")),0)</f>
        <v>40.93</v>
      </c>
      <c r="O334" s="4" t="n">
        <f aca="false">IF(A334="",0,IF(COUNTIF($A$2:A334,A334)&gt;1,1,0))</f>
        <v>0</v>
      </c>
      <c r="P334" s="4" t="n">
        <f aca="false">IF(AND(A334&lt;&gt;"",J334&lt;&gt;"",M334&gt;0,N334&gt;0,O334=0),1,0)</f>
        <v>1</v>
      </c>
      <c r="Q334" s="7" t="n">
        <f aca="false">IF(P334=1,M334*N334,0)</f>
        <v>81.86</v>
      </c>
    </row>
    <row r="335" customFormat="false" ht="15" hidden="false" customHeight="false" outlineLevel="0" collapsed="false">
      <c r="A335" s="4" t="n">
        <v>10101</v>
      </c>
      <c r="B335" s="4" t="s">
        <v>959</v>
      </c>
      <c r="C335" s="4" t="s">
        <v>50</v>
      </c>
      <c r="D335" s="4" t="s">
        <v>438</v>
      </c>
      <c r="E335" s="4" t="s">
        <v>151</v>
      </c>
      <c r="F335" s="4" t="n">
        <v>1</v>
      </c>
      <c r="G335" s="4" t="s">
        <v>960</v>
      </c>
      <c r="H335" s="4" t="s">
        <v>47</v>
      </c>
      <c r="I335" s="4" t="s">
        <v>961</v>
      </c>
      <c r="J335" s="6" t="n">
        <f aca="false">IFERROR(DATEVALUE(B335),"")</f>
        <v>45652</v>
      </c>
      <c r="K335" s="4" t="str">
        <f aca="false">IF(A335="","",PROPER(TRIM(C335)))</f>
        <v>Midwest</v>
      </c>
      <c r="L335" s="4" t="str">
        <f aca="false">IF(A335="","",PROPER(TRIM(D335)))</f>
        <v>Footwear</v>
      </c>
      <c r="M335" s="4" t="n">
        <f aca="false">IFERROR(VALUE(F335),0)</f>
        <v>1</v>
      </c>
      <c r="N335" s="7" t="n">
        <f aca="false">IFERROR(VALUE(SUBSTITUTE(G335,"$","")),0)</f>
        <v>169.32</v>
      </c>
      <c r="O335" s="4" t="n">
        <f aca="false">IF(A335="",0,IF(COUNTIF($A$2:A335,A335)&gt;1,1,0))</f>
        <v>0</v>
      </c>
      <c r="P335" s="4" t="n">
        <f aca="false">IF(AND(A335&lt;&gt;"",J335&lt;&gt;"",M335&gt;0,N335&gt;0,O335=0),1,0)</f>
        <v>1</v>
      </c>
      <c r="Q335" s="7" t="n">
        <f aca="false">IF(P335=1,M335*N335,0)</f>
        <v>169.32</v>
      </c>
    </row>
    <row r="336" customFormat="false" ht="15" hidden="false" customHeight="false" outlineLevel="0" collapsed="false">
      <c r="A336" s="4" t="n">
        <v>10056</v>
      </c>
      <c r="B336" s="4" t="s">
        <v>962</v>
      </c>
      <c r="C336" s="4" t="s">
        <v>149</v>
      </c>
      <c r="D336" s="4" t="s">
        <v>129</v>
      </c>
      <c r="E336" s="4" t="s">
        <v>125</v>
      </c>
      <c r="F336" s="4" t="n">
        <v>2</v>
      </c>
      <c r="G336" s="4"/>
      <c r="H336" s="4" t="s">
        <v>73</v>
      </c>
      <c r="I336" s="4" t="s">
        <v>360</v>
      </c>
      <c r="J336" s="6" t="n">
        <f aca="false">IFERROR(DATEVALUE(B336),"")</f>
        <v>45776</v>
      </c>
      <c r="K336" s="4" t="str">
        <f aca="false">IF(A336="","",PROPER(TRIM(C336)))</f>
        <v>East</v>
      </c>
      <c r="L336" s="4" t="str">
        <f aca="false">IF(A336="","",PROPER(TRIM(D336)))</f>
        <v>Climbing Gear</v>
      </c>
      <c r="M336" s="4" t="n">
        <f aca="false">IFERROR(VALUE(F336),0)</f>
        <v>2</v>
      </c>
      <c r="N336" s="7" t="n">
        <f aca="false">IFERROR(VALUE(SUBSTITUTE(G336,"$","")),0)</f>
        <v>0</v>
      </c>
      <c r="O336" s="4" t="n">
        <f aca="false">IF(A336="",0,IF(COUNTIF($A$2:A336,A336)&gt;1,1,0))</f>
        <v>0</v>
      </c>
      <c r="P336" s="4" t="n">
        <f aca="false">IF(AND(A336&lt;&gt;"",J336&lt;&gt;"",M336&gt;0,N336&gt;0,O336=0),1,0)</f>
        <v>0</v>
      </c>
      <c r="Q336" s="7" t="n">
        <f aca="false">IF(P336=1,M336*N336,0)</f>
        <v>0</v>
      </c>
    </row>
    <row r="337" customFormat="false" ht="15" hidden="false" customHeight="false" outlineLevel="0" collapsed="false">
      <c r="A337" s="4" t="n">
        <v>10582</v>
      </c>
      <c r="B337" s="4" t="s">
        <v>963</v>
      </c>
      <c r="C337" s="4" t="s">
        <v>120</v>
      </c>
      <c r="D337" s="4" t="s">
        <v>101</v>
      </c>
      <c r="E337" s="4" t="s">
        <v>52</v>
      </c>
      <c r="F337" s="4" t="n">
        <v>1</v>
      </c>
      <c r="G337" s="4" t="s">
        <v>964</v>
      </c>
      <c r="H337" s="4" t="s">
        <v>73</v>
      </c>
      <c r="I337" s="4" t="s">
        <v>965</v>
      </c>
      <c r="J337" s="6" t="n">
        <f aca="false">IFERROR(DATEVALUE(B337),"")</f>
        <v>45833</v>
      </c>
      <c r="K337" s="4" t="str">
        <f aca="false">IF(A337="","",PROPER(TRIM(C337)))</f>
        <v>East</v>
      </c>
      <c r="L337" s="4" t="str">
        <f aca="false">IF(A337="","",PROPER(TRIM(D337)))</f>
        <v>Accessories</v>
      </c>
      <c r="M337" s="4" t="n">
        <f aca="false">IFERROR(VALUE(F337),0)</f>
        <v>1</v>
      </c>
      <c r="N337" s="7" t="n">
        <f aca="false">IFERROR(VALUE(SUBSTITUTE(G337,"$","")),0)</f>
        <v>95.82</v>
      </c>
      <c r="O337" s="4" t="n">
        <f aca="false">IF(A337="",0,IF(COUNTIF($A$2:A337,A337)&gt;1,1,0))</f>
        <v>0</v>
      </c>
      <c r="P337" s="4" t="n">
        <f aca="false">IF(AND(A337&lt;&gt;"",J337&lt;&gt;"",M337&gt;0,N337&gt;0,O337=0),1,0)</f>
        <v>1</v>
      </c>
      <c r="Q337" s="7" t="n">
        <f aca="false">IF(P337=1,M337*N337,0)</f>
        <v>95.82</v>
      </c>
    </row>
    <row r="338" customFormat="false" ht="15" hidden="false" customHeight="false" outlineLevel="0" collapsed="false">
      <c r="A338" s="4" t="n">
        <v>10623</v>
      </c>
      <c r="B338" s="4" t="s">
        <v>966</v>
      </c>
      <c r="C338" s="4" t="s">
        <v>149</v>
      </c>
      <c r="D338" s="4" t="s">
        <v>217</v>
      </c>
      <c r="E338" s="4" t="s">
        <v>243</v>
      </c>
      <c r="F338" s="4" t="n">
        <v>3</v>
      </c>
      <c r="G338" s="4" t="s">
        <v>967</v>
      </c>
      <c r="H338" s="4" t="s">
        <v>54</v>
      </c>
      <c r="I338" s="4" t="s">
        <v>968</v>
      </c>
      <c r="J338" s="6" t="n">
        <f aca="false">IFERROR(DATEVALUE(B338),"")</f>
        <v>45833</v>
      </c>
      <c r="K338" s="4" t="str">
        <f aca="false">IF(A338="","",PROPER(TRIM(C338)))</f>
        <v>East</v>
      </c>
      <c r="L338" s="4" t="str">
        <f aca="false">IF(A338="","",PROPER(TRIM(D338)))</f>
        <v>Apparel</v>
      </c>
      <c r="M338" s="4" t="n">
        <f aca="false">IFERROR(VALUE(F338),0)</f>
        <v>3</v>
      </c>
      <c r="N338" s="7" t="n">
        <f aca="false">IFERROR(VALUE(SUBSTITUTE(G338,"$","")),0)</f>
        <v>75.35</v>
      </c>
      <c r="O338" s="4" t="n">
        <f aca="false">IF(A338="",0,IF(COUNTIF($A$2:A338,A338)&gt;1,1,0))</f>
        <v>0</v>
      </c>
      <c r="P338" s="4" t="n">
        <f aca="false">IF(AND(A338&lt;&gt;"",J338&lt;&gt;"",M338&gt;0,N338&gt;0,O338=0),1,0)</f>
        <v>1</v>
      </c>
      <c r="Q338" s="7" t="n">
        <f aca="false">IF(P338=1,M338*N338,0)</f>
        <v>226.05</v>
      </c>
    </row>
    <row r="339" customFormat="false" ht="15" hidden="false" customHeight="false" outlineLevel="0" collapsed="false">
      <c r="A339" s="4" t="n">
        <v>10327</v>
      </c>
      <c r="B339" s="4" t="s">
        <v>969</v>
      </c>
      <c r="C339" s="4" t="s">
        <v>93</v>
      </c>
      <c r="D339" s="4" t="s">
        <v>230</v>
      </c>
      <c r="E339" s="4" t="s">
        <v>243</v>
      </c>
      <c r="F339" s="4" t="n">
        <v>5</v>
      </c>
      <c r="G339" s="4" t="s">
        <v>970</v>
      </c>
      <c r="H339" s="4" t="s">
        <v>54</v>
      </c>
      <c r="I339" s="4" t="s">
        <v>971</v>
      </c>
      <c r="J339" s="6" t="n">
        <f aca="false">IFERROR(DATEVALUE(B339),"")</f>
        <v>45434</v>
      </c>
      <c r="K339" s="4" t="str">
        <f aca="false">IF(A339="","",PROPER(TRIM(C339)))</f>
        <v>West</v>
      </c>
      <c r="L339" s="4" t="str">
        <f aca="false">IF(A339="","",PROPER(TRIM(D339)))</f>
        <v>Apparel</v>
      </c>
      <c r="M339" s="4" t="n">
        <f aca="false">IFERROR(VALUE(F339),0)</f>
        <v>5</v>
      </c>
      <c r="N339" s="7" t="n">
        <f aca="false">IFERROR(VALUE(SUBSTITUTE(G339,"$","")),0)</f>
        <v>83.97</v>
      </c>
      <c r="O339" s="4" t="n">
        <f aca="false">IF(A339="",0,IF(COUNTIF($A$2:A339,A339)&gt;1,1,0))</f>
        <v>0</v>
      </c>
      <c r="P339" s="4" t="n">
        <f aca="false">IF(AND(A339&lt;&gt;"",J339&lt;&gt;"",M339&gt;0,N339&gt;0,O339=0),1,0)</f>
        <v>1</v>
      </c>
      <c r="Q339" s="7" t="n">
        <f aca="false">IF(P339=1,M339*N339,0)</f>
        <v>419.85</v>
      </c>
    </row>
    <row r="340" customFormat="false" ht="15" hidden="false" customHeight="false" outlineLevel="0" collapsed="false">
      <c r="A340" s="4" t="n">
        <v>10336</v>
      </c>
      <c r="B340" s="4" t="s">
        <v>972</v>
      </c>
      <c r="C340" s="4" t="s">
        <v>93</v>
      </c>
      <c r="D340" s="4" t="s">
        <v>333</v>
      </c>
      <c r="E340" s="4" t="s">
        <v>52</v>
      </c>
      <c r="F340" s="4" t="n">
        <v>4</v>
      </c>
      <c r="G340" s="4" t="s">
        <v>973</v>
      </c>
      <c r="H340" s="4" t="s">
        <v>73</v>
      </c>
      <c r="I340" s="4" t="s">
        <v>589</v>
      </c>
      <c r="J340" s="6" t="n">
        <f aca="false">IFERROR(DATEVALUE(B340),"")</f>
        <v>45726</v>
      </c>
      <c r="K340" s="4" t="str">
        <f aca="false">IF(A340="","",PROPER(TRIM(C340)))</f>
        <v>West</v>
      </c>
      <c r="L340" s="4" t="str">
        <f aca="false">IF(A340="","",PROPER(TRIM(D340)))</f>
        <v>Accessories</v>
      </c>
      <c r="M340" s="4" t="n">
        <f aca="false">IFERROR(VALUE(F340),0)</f>
        <v>4</v>
      </c>
      <c r="N340" s="7" t="n">
        <f aca="false">IFERROR(VALUE(SUBSTITUTE(G340,"$","")),0)</f>
        <v>82.28</v>
      </c>
      <c r="O340" s="4" t="n">
        <f aca="false">IF(A340="",0,IF(COUNTIF($A$2:A340,A340)&gt;1,1,0))</f>
        <v>0</v>
      </c>
      <c r="P340" s="4" t="n">
        <f aca="false">IF(AND(A340&lt;&gt;"",J340&lt;&gt;"",M340&gt;0,N340&gt;0,O340=0),1,0)</f>
        <v>1</v>
      </c>
      <c r="Q340" s="7" t="n">
        <f aca="false">IF(P340=1,M340*N340,0)</f>
        <v>329.12</v>
      </c>
    </row>
    <row r="341" customFormat="false" ht="15" hidden="false" customHeight="false" outlineLevel="0" collapsed="false">
      <c r="A341" s="4" t="n">
        <v>10625</v>
      </c>
      <c r="B341" s="4" t="s">
        <v>974</v>
      </c>
      <c r="C341" s="4" t="s">
        <v>178</v>
      </c>
      <c r="D341" s="4" t="s">
        <v>171</v>
      </c>
      <c r="E341" s="4" t="s">
        <v>203</v>
      </c>
      <c r="F341" s="4" t="n">
        <v>1</v>
      </c>
      <c r="G341" s="4" t="s">
        <v>975</v>
      </c>
      <c r="H341" s="4" t="s">
        <v>73</v>
      </c>
      <c r="I341" s="4" t="s">
        <v>641</v>
      </c>
      <c r="J341" s="6" t="n">
        <f aca="false">IFERROR(DATEVALUE(B341),"")</f>
        <v>45399</v>
      </c>
      <c r="K341" s="4" t="str">
        <f aca="false">IF(A341="","",PROPER(TRIM(C341)))</f>
        <v>South</v>
      </c>
      <c r="L341" s="4" t="str">
        <f aca="false">IF(A341="","",PROPER(TRIM(D341)))</f>
        <v>Camping Gear</v>
      </c>
      <c r="M341" s="4" t="n">
        <f aca="false">IFERROR(VALUE(F341),0)</f>
        <v>1</v>
      </c>
      <c r="N341" s="7" t="n">
        <f aca="false">IFERROR(VALUE(SUBSTITUTE(G341,"$","")),0)</f>
        <v>227.97</v>
      </c>
      <c r="O341" s="4" t="n">
        <f aca="false">IF(A341="",0,IF(COUNTIF($A$2:A341,A341)&gt;1,1,0))</f>
        <v>0</v>
      </c>
      <c r="P341" s="4" t="n">
        <f aca="false">IF(AND(A341&lt;&gt;"",J341&lt;&gt;"",M341&gt;0,N341&gt;0,O341=0),1,0)</f>
        <v>1</v>
      </c>
      <c r="Q341" s="7" t="n">
        <f aca="false">IF(P341=1,M341*N341,0)</f>
        <v>227.97</v>
      </c>
    </row>
    <row r="342" customFormat="false" ht="15" hidden="false" customHeight="false" outlineLevel="0" collapsed="false">
      <c r="A342" s="4" t="n">
        <v>10016</v>
      </c>
      <c r="B342" s="4" t="s">
        <v>280</v>
      </c>
      <c r="C342" s="4" t="s">
        <v>155</v>
      </c>
      <c r="D342" s="4" t="s">
        <v>106</v>
      </c>
      <c r="E342" s="4" t="s">
        <v>77</v>
      </c>
      <c r="F342" s="4" t="n">
        <v>1</v>
      </c>
      <c r="G342" s="4" t="s">
        <v>976</v>
      </c>
      <c r="H342" s="4" t="s">
        <v>47</v>
      </c>
      <c r="I342" s="4" t="s">
        <v>162</v>
      </c>
      <c r="J342" s="6" t="str">
        <f aca="false">IFERROR(DATEVALUE(B342),"")</f>
        <v/>
      </c>
      <c r="K342" s="4" t="str">
        <f aca="false">IF(A342="","",PROPER(TRIM(C342)))</f>
        <v>South</v>
      </c>
      <c r="L342" s="4" t="str">
        <f aca="false">IF(A342="","",PROPER(TRIM(D342)))</f>
        <v>Footwear</v>
      </c>
      <c r="M342" s="4" t="n">
        <f aca="false">IFERROR(VALUE(F342),0)</f>
        <v>1</v>
      </c>
      <c r="N342" s="7" t="n">
        <f aca="false">IFERROR(VALUE(SUBSTITUTE(G342,"$","")),0)</f>
        <v>146.56</v>
      </c>
      <c r="O342" s="4" t="n">
        <f aca="false">IF(A342="",0,IF(COUNTIF($A$2:A342,A342)&gt;1,1,0))</f>
        <v>0</v>
      </c>
      <c r="P342" s="4" t="n">
        <f aca="false">IF(AND(A342&lt;&gt;"",J342&lt;&gt;"",M342&gt;0,N342&gt;0,O342=0),1,0)</f>
        <v>0</v>
      </c>
      <c r="Q342" s="7" t="n">
        <f aca="false">IF(P342=1,M342*N342,0)</f>
        <v>0</v>
      </c>
    </row>
    <row r="343" customFormat="false" ht="15" hidden="false" customHeight="false" outlineLevel="0" collapsed="false">
      <c r="A343" s="4" t="n">
        <v>10377</v>
      </c>
      <c r="B343" s="4" t="s">
        <v>630</v>
      </c>
      <c r="C343" s="4" t="s">
        <v>50</v>
      </c>
      <c r="D343" s="4" t="s">
        <v>70</v>
      </c>
      <c r="E343" s="4" t="s">
        <v>71</v>
      </c>
      <c r="F343" s="4" t="n">
        <v>1</v>
      </c>
      <c r="G343" s="4" t="s">
        <v>631</v>
      </c>
      <c r="H343" s="4" t="s">
        <v>73</v>
      </c>
      <c r="I343" s="4" t="s">
        <v>274</v>
      </c>
      <c r="J343" s="6" t="n">
        <f aca="false">IFERROR(DATEVALUE(B343),"")</f>
        <v>45324</v>
      </c>
      <c r="K343" s="4" t="str">
        <f aca="false">IF(A343="","",PROPER(TRIM(C343)))</f>
        <v>Midwest</v>
      </c>
      <c r="L343" s="4" t="str">
        <f aca="false">IF(A343="","",PROPER(TRIM(D343)))</f>
        <v>Camping Gear</v>
      </c>
      <c r="M343" s="4" t="n">
        <f aca="false">IFERROR(VALUE(F343),0)</f>
        <v>1</v>
      </c>
      <c r="N343" s="7" t="n">
        <f aca="false">IFERROR(VALUE(SUBSTITUTE(G343,"$","")),0)</f>
        <v>65.02</v>
      </c>
      <c r="O343" s="4" t="n">
        <f aca="false">IF(A343="",0,IF(COUNTIF($A$2:A343,A343)&gt;1,1,0))</f>
        <v>1</v>
      </c>
      <c r="P343" s="4" t="n">
        <f aca="false">IF(AND(A343&lt;&gt;"",J343&lt;&gt;"",M343&gt;0,N343&gt;0,O343=0),1,0)</f>
        <v>0</v>
      </c>
      <c r="Q343" s="7" t="n">
        <f aca="false">IF(P343=1,M343*N343,0)</f>
        <v>0</v>
      </c>
    </row>
    <row r="344" customFormat="false" ht="15" hidden="false" customHeight="false" outlineLevel="0" collapsed="false">
      <c r="A344" s="4" t="n">
        <v>10492</v>
      </c>
      <c r="B344" s="4" t="s">
        <v>347</v>
      </c>
      <c r="C344" s="4" t="s">
        <v>69</v>
      </c>
      <c r="D344" s="4" t="s">
        <v>141</v>
      </c>
      <c r="E344" s="4" t="s">
        <v>116</v>
      </c>
      <c r="F344" s="4" t="n">
        <v>4</v>
      </c>
      <c r="G344" s="4" t="s">
        <v>977</v>
      </c>
      <c r="H344" s="4" t="s">
        <v>54</v>
      </c>
      <c r="I344" s="4" t="s">
        <v>978</v>
      </c>
      <c r="J344" s="6" t="n">
        <f aca="false">IFERROR(DATEVALUE(B344),"")</f>
        <v>45444</v>
      </c>
      <c r="K344" s="4" t="str">
        <f aca="false">IF(A344="","",PROPER(TRIM(C344)))</f>
        <v>East</v>
      </c>
      <c r="L344" s="4" t="str">
        <f aca="false">IF(A344="","",PROPER(TRIM(D344)))</f>
        <v>Apparel</v>
      </c>
      <c r="M344" s="4" t="n">
        <f aca="false">IFERROR(VALUE(F344),0)</f>
        <v>4</v>
      </c>
      <c r="N344" s="7" t="n">
        <f aca="false">IFERROR(VALUE(SUBSTITUTE(G344,"$","")),0)</f>
        <v>72.29</v>
      </c>
      <c r="O344" s="4" t="n">
        <f aca="false">IF(A344="",0,IF(COUNTIF($A$2:A344,A344)&gt;1,1,0))</f>
        <v>0</v>
      </c>
      <c r="P344" s="4" t="n">
        <f aca="false">IF(AND(A344&lt;&gt;"",J344&lt;&gt;"",M344&gt;0,N344&gt;0,O344=0),1,0)</f>
        <v>1</v>
      </c>
      <c r="Q344" s="7" t="n">
        <f aca="false">IF(P344=1,M344*N344,0)</f>
        <v>289.16</v>
      </c>
    </row>
    <row r="345" customFormat="false" ht="15" hidden="false" customHeight="false" outlineLevel="0" collapsed="false">
      <c r="A345" s="4" t="n">
        <v>10756</v>
      </c>
      <c r="B345" s="4" t="s">
        <v>979</v>
      </c>
      <c r="C345" s="4" t="s">
        <v>332</v>
      </c>
      <c r="D345" s="4" t="s">
        <v>64</v>
      </c>
      <c r="E345" s="4" t="s">
        <v>111</v>
      </c>
      <c r="F345" s="4" t="n">
        <v>4</v>
      </c>
      <c r="G345" s="4" t="s">
        <v>980</v>
      </c>
      <c r="H345" s="4" t="s">
        <v>54</v>
      </c>
      <c r="I345" s="4" t="s">
        <v>523</v>
      </c>
      <c r="J345" s="6" t="n">
        <f aca="false">IFERROR(DATEVALUE(B345),"")</f>
        <v>45755</v>
      </c>
      <c r="K345" s="4" t="str">
        <f aca="false">IF(A345="","",PROPER(TRIM(C345)))</f>
        <v>West</v>
      </c>
      <c r="L345" s="4" t="str">
        <f aca="false">IF(A345="","",PROPER(TRIM(D345)))</f>
        <v>Footwear</v>
      </c>
      <c r="M345" s="4" t="n">
        <f aca="false">IFERROR(VALUE(F345),0)</f>
        <v>4</v>
      </c>
      <c r="N345" s="7" t="n">
        <f aca="false">IFERROR(VALUE(SUBSTITUTE(G345,"$","")),0)</f>
        <v>102.18</v>
      </c>
      <c r="O345" s="4" t="n">
        <f aca="false">IF(A345="",0,IF(COUNTIF($A$2:A345,A345)&gt;1,1,0))</f>
        <v>0</v>
      </c>
      <c r="P345" s="4" t="n">
        <f aca="false">IF(AND(A345&lt;&gt;"",J345&lt;&gt;"",M345&gt;0,N345&gt;0,O345=0),1,0)</f>
        <v>1</v>
      </c>
      <c r="Q345" s="7" t="n">
        <f aca="false">IF(P345=1,M345*N345,0)</f>
        <v>408.72</v>
      </c>
    </row>
    <row r="346" customFormat="false" ht="15" hidden="false" customHeight="false" outlineLevel="0" collapsed="false">
      <c r="A346" s="4" t="n">
        <v>10740</v>
      </c>
      <c r="B346" s="4" t="s">
        <v>902</v>
      </c>
      <c r="C346" s="4" t="s">
        <v>63</v>
      </c>
      <c r="D346" s="4" t="s">
        <v>171</v>
      </c>
      <c r="E346" s="4" t="s">
        <v>71</v>
      </c>
      <c r="F346" s="4" t="n">
        <v>1</v>
      </c>
      <c r="G346" s="4" t="s">
        <v>981</v>
      </c>
      <c r="H346" s="4" t="s">
        <v>54</v>
      </c>
      <c r="I346" s="4" t="s">
        <v>951</v>
      </c>
      <c r="J346" s="6" t="n">
        <f aca="false">IFERROR(DATEVALUE(B346),"")</f>
        <v>45357</v>
      </c>
      <c r="K346" s="4" t="str">
        <f aca="false">IF(A346="","",PROPER(TRIM(C346)))</f>
        <v>Midwest</v>
      </c>
      <c r="L346" s="4" t="str">
        <f aca="false">IF(A346="","",PROPER(TRIM(D346)))</f>
        <v>Camping Gear</v>
      </c>
      <c r="M346" s="4" t="n">
        <f aca="false">IFERROR(VALUE(F346),0)</f>
        <v>1</v>
      </c>
      <c r="N346" s="7" t="n">
        <f aca="false">IFERROR(VALUE(SUBSTITUTE(G346,"$","")),0)</f>
        <v>63</v>
      </c>
      <c r="O346" s="4" t="n">
        <f aca="false">IF(A346="",0,IF(COUNTIF($A$2:A346,A346)&gt;1,1,0))</f>
        <v>0</v>
      </c>
      <c r="P346" s="4" t="n">
        <f aca="false">IF(AND(A346&lt;&gt;"",J346&lt;&gt;"",M346&gt;0,N346&gt;0,O346=0),1,0)</f>
        <v>1</v>
      </c>
      <c r="Q346" s="7" t="n">
        <f aca="false">IF(P346=1,M346*N346,0)</f>
        <v>63</v>
      </c>
    </row>
    <row r="347" customFormat="false" ht="15" hidden="false" customHeight="false" outlineLevel="0" collapsed="false">
      <c r="A347" s="4" t="n">
        <v>10229</v>
      </c>
      <c r="B347" s="4" t="s">
        <v>982</v>
      </c>
      <c r="C347" s="4" t="s">
        <v>183</v>
      </c>
      <c r="D347" s="4" t="s">
        <v>58</v>
      </c>
      <c r="E347" s="4" t="s">
        <v>59</v>
      </c>
      <c r="F347" s="4" t="n">
        <v>2</v>
      </c>
      <c r="G347" s="4" t="s">
        <v>983</v>
      </c>
      <c r="H347" s="4" t="s">
        <v>47</v>
      </c>
      <c r="I347" s="4" t="s">
        <v>984</v>
      </c>
      <c r="J347" s="6" t="n">
        <f aca="false">IFERROR(DATEVALUE(B347),"")</f>
        <v>45426</v>
      </c>
      <c r="K347" s="4" t="str">
        <f aca="false">IF(A347="","",PROPER(TRIM(C347)))</f>
        <v>West</v>
      </c>
      <c r="L347" s="4" t="str">
        <f aca="false">IF(A347="","",PROPER(TRIM(D347)))</f>
        <v>Climbing Gear</v>
      </c>
      <c r="M347" s="4" t="n">
        <f aca="false">IFERROR(VALUE(F347),0)</f>
        <v>2</v>
      </c>
      <c r="N347" s="7" t="n">
        <f aca="false">IFERROR(VALUE(SUBSTITUTE(G347,"$","")),0)</f>
        <v>39.04</v>
      </c>
      <c r="O347" s="4" t="n">
        <f aca="false">IF(A347="",0,IF(COUNTIF($A$2:A347,A347)&gt;1,1,0))</f>
        <v>0</v>
      </c>
      <c r="P347" s="4" t="n">
        <f aca="false">IF(AND(A347&lt;&gt;"",J347&lt;&gt;"",M347&gt;0,N347&gt;0,O347=0),1,0)</f>
        <v>1</v>
      </c>
      <c r="Q347" s="7" t="n">
        <f aca="false">IF(P347=1,M347*N347,0)</f>
        <v>78.08</v>
      </c>
    </row>
    <row r="348" customFormat="false" ht="15" hidden="false" customHeight="false" outlineLevel="0" collapsed="false">
      <c r="A348" s="4" t="n">
        <v>10766</v>
      </c>
      <c r="B348" s="4" t="s">
        <v>985</v>
      </c>
      <c r="C348" s="4" t="s">
        <v>63</v>
      </c>
      <c r="D348" s="4" t="s">
        <v>129</v>
      </c>
      <c r="E348" s="4" t="s">
        <v>188</v>
      </c>
      <c r="F348" s="4" t="n">
        <v>4</v>
      </c>
      <c r="G348" s="4" t="s">
        <v>986</v>
      </c>
      <c r="H348" s="4" t="s">
        <v>73</v>
      </c>
      <c r="I348" s="4" t="s">
        <v>74</v>
      </c>
      <c r="J348" s="6" t="n">
        <f aca="false">IFERROR(DATEVALUE(B348),"")</f>
        <v>45426</v>
      </c>
      <c r="K348" s="4" t="str">
        <f aca="false">IF(A348="","",PROPER(TRIM(C348)))</f>
        <v>Midwest</v>
      </c>
      <c r="L348" s="4" t="str">
        <f aca="false">IF(A348="","",PROPER(TRIM(D348)))</f>
        <v>Climbing Gear</v>
      </c>
      <c r="M348" s="4" t="n">
        <f aca="false">IFERROR(VALUE(F348),0)</f>
        <v>4</v>
      </c>
      <c r="N348" s="7" t="n">
        <f aca="false">IFERROR(VALUE(SUBSTITUTE(G348,"$","")),0)</f>
        <v>20.29</v>
      </c>
      <c r="O348" s="4" t="n">
        <f aca="false">IF(A348="",0,IF(COUNTIF($A$2:A348,A348)&gt;1,1,0))</f>
        <v>0</v>
      </c>
      <c r="P348" s="4" t="n">
        <f aca="false">IF(AND(A348&lt;&gt;"",J348&lt;&gt;"",M348&gt;0,N348&gt;0,O348=0),1,0)</f>
        <v>1</v>
      </c>
      <c r="Q348" s="7" t="n">
        <f aca="false">IF(P348=1,M348*N348,0)</f>
        <v>81.16</v>
      </c>
    </row>
    <row r="349" customFormat="false" ht="15" hidden="false" customHeight="false" outlineLevel="0" collapsed="false">
      <c r="A349" s="4" t="n">
        <v>10466</v>
      </c>
      <c r="B349" s="4" t="s">
        <v>987</v>
      </c>
      <c r="C349" s="4" t="s">
        <v>149</v>
      </c>
      <c r="D349" s="4" t="s">
        <v>333</v>
      </c>
      <c r="E349" s="4" t="s">
        <v>45</v>
      </c>
      <c r="F349" s="4" t="n">
        <v>4</v>
      </c>
      <c r="G349" s="4" t="s">
        <v>988</v>
      </c>
      <c r="H349" s="4" t="s">
        <v>54</v>
      </c>
      <c r="I349" s="4" t="s">
        <v>989</v>
      </c>
      <c r="J349" s="6" t="n">
        <f aca="false">IFERROR(DATEVALUE(B349),"")</f>
        <v>45764</v>
      </c>
      <c r="K349" s="4" t="str">
        <f aca="false">IF(A349="","",PROPER(TRIM(C349)))</f>
        <v>East</v>
      </c>
      <c r="L349" s="4" t="str">
        <f aca="false">IF(A349="","",PROPER(TRIM(D349)))</f>
        <v>Accessories</v>
      </c>
      <c r="M349" s="4" t="n">
        <f aca="false">IFERROR(VALUE(F349),0)</f>
        <v>4</v>
      </c>
      <c r="N349" s="7" t="n">
        <f aca="false">IFERROR(VALUE(SUBSTITUTE(G349,"$","")),0)</f>
        <v>48.38</v>
      </c>
      <c r="O349" s="4" t="n">
        <f aca="false">IF(A349="",0,IF(COUNTIF($A$2:A349,A349)&gt;1,1,0))</f>
        <v>0</v>
      </c>
      <c r="P349" s="4" t="n">
        <f aca="false">IF(AND(A349&lt;&gt;"",J349&lt;&gt;"",M349&gt;0,N349&gt;0,O349=0),1,0)</f>
        <v>1</v>
      </c>
      <c r="Q349" s="7" t="n">
        <f aca="false">IF(P349=1,M349*N349,0)</f>
        <v>193.52</v>
      </c>
    </row>
    <row r="350" customFormat="false" ht="15" hidden="false" customHeight="false" outlineLevel="0" collapsed="false">
      <c r="A350" s="4" t="n">
        <v>10714</v>
      </c>
      <c r="B350" s="4" t="s">
        <v>990</v>
      </c>
      <c r="C350" s="4" t="s">
        <v>178</v>
      </c>
      <c r="D350" s="4" t="s">
        <v>64</v>
      </c>
      <c r="E350" s="4" t="s">
        <v>111</v>
      </c>
      <c r="F350" s="4" t="n">
        <v>1</v>
      </c>
      <c r="G350" s="4" t="s">
        <v>991</v>
      </c>
      <c r="H350" s="4" t="s">
        <v>54</v>
      </c>
      <c r="I350" s="4" t="s">
        <v>440</v>
      </c>
      <c r="J350" s="6" t="n">
        <f aca="false">IFERROR(DATEVALUE(B350),"")</f>
        <v>45333</v>
      </c>
      <c r="K350" s="4" t="str">
        <f aca="false">IF(A350="","",PROPER(TRIM(C350)))</f>
        <v>South</v>
      </c>
      <c r="L350" s="4" t="str">
        <f aca="false">IF(A350="","",PROPER(TRIM(D350)))</f>
        <v>Footwear</v>
      </c>
      <c r="M350" s="4" t="n">
        <f aca="false">IFERROR(VALUE(F350),0)</f>
        <v>1</v>
      </c>
      <c r="N350" s="7" t="n">
        <f aca="false">IFERROR(VALUE(SUBSTITUTE(G350,"$","")),0)</f>
        <v>93.74</v>
      </c>
      <c r="O350" s="4" t="n">
        <f aca="false">IF(A350="",0,IF(COUNTIF($A$2:A350,A350)&gt;1,1,0))</f>
        <v>0</v>
      </c>
      <c r="P350" s="4" t="n">
        <f aca="false">IF(AND(A350&lt;&gt;"",J350&lt;&gt;"",M350&gt;0,N350&gt;0,O350=0),1,0)</f>
        <v>1</v>
      </c>
      <c r="Q350" s="7" t="n">
        <f aca="false">IF(P350=1,M350*N350,0)</f>
        <v>93.74</v>
      </c>
    </row>
    <row r="351" customFormat="false" ht="15" hidden="false" customHeight="false" outlineLevel="0" collapsed="false">
      <c r="A351" s="4" t="n">
        <v>10460</v>
      </c>
      <c r="B351" s="4" t="s">
        <v>992</v>
      </c>
      <c r="C351" s="4" t="s">
        <v>110</v>
      </c>
      <c r="D351" s="4" t="s">
        <v>225</v>
      </c>
      <c r="E351" s="4" t="s">
        <v>52</v>
      </c>
      <c r="F351" s="4" t="n">
        <v>1</v>
      </c>
      <c r="G351" s="4" t="s">
        <v>993</v>
      </c>
      <c r="H351" s="4" t="s">
        <v>73</v>
      </c>
      <c r="I351" s="4" t="s">
        <v>583</v>
      </c>
      <c r="J351" s="6" t="n">
        <f aca="false">IFERROR(DATEVALUE(B351),"")</f>
        <v>45798</v>
      </c>
      <c r="K351" s="4" t="str">
        <f aca="false">IF(A351="","",PROPER(TRIM(C351)))</f>
        <v>Midwest</v>
      </c>
      <c r="L351" s="4" t="str">
        <f aca="false">IF(A351="","",PROPER(TRIM(D351)))</f>
        <v>Accessories</v>
      </c>
      <c r="M351" s="4" t="n">
        <f aca="false">IFERROR(VALUE(F351),0)</f>
        <v>1</v>
      </c>
      <c r="N351" s="7" t="n">
        <f aca="false">IFERROR(VALUE(SUBSTITUTE(G351,"$","")),0)</f>
        <v>79.27</v>
      </c>
      <c r="O351" s="4" t="n">
        <f aca="false">IF(A351="",0,IF(COUNTIF($A$2:A351,A351)&gt;1,1,0))</f>
        <v>0</v>
      </c>
      <c r="P351" s="4" t="n">
        <f aca="false">IF(AND(A351&lt;&gt;"",J351&lt;&gt;"",M351&gt;0,N351&gt;0,O351=0),1,0)</f>
        <v>1</v>
      </c>
      <c r="Q351" s="7" t="n">
        <f aca="false">IF(P351=1,M351*N351,0)</f>
        <v>79.27</v>
      </c>
    </row>
    <row r="352" customFormat="false" ht="15" hidden="false" customHeight="false" outlineLevel="0" collapsed="false">
      <c r="A352" s="4" t="n">
        <v>10572</v>
      </c>
      <c r="B352" s="4" t="s">
        <v>994</v>
      </c>
      <c r="C352" s="4" t="s">
        <v>332</v>
      </c>
      <c r="D352" s="4" t="s">
        <v>124</v>
      </c>
      <c r="E352" s="4" t="s">
        <v>125</v>
      </c>
      <c r="F352" s="4" t="n">
        <v>3</v>
      </c>
      <c r="G352" s="4" t="s">
        <v>995</v>
      </c>
      <c r="H352" s="4" t="s">
        <v>47</v>
      </c>
      <c r="I352" s="4" t="s">
        <v>428</v>
      </c>
      <c r="J352" s="6" t="n">
        <f aca="false">IFERROR(DATEVALUE(B352),"")</f>
        <v>45497</v>
      </c>
      <c r="K352" s="4" t="str">
        <f aca="false">IF(A352="","",PROPER(TRIM(C352)))</f>
        <v>West</v>
      </c>
      <c r="L352" s="4" t="str">
        <f aca="false">IF(A352="","",PROPER(TRIM(D352)))</f>
        <v>Climbing Gear</v>
      </c>
      <c r="M352" s="4" t="n">
        <f aca="false">IFERROR(VALUE(F352),0)</f>
        <v>3</v>
      </c>
      <c r="N352" s="7" t="n">
        <f aca="false">IFERROR(VALUE(SUBSTITUTE(G352,"$","")),0)</f>
        <v>98.61</v>
      </c>
      <c r="O352" s="4" t="n">
        <f aca="false">IF(A352="",0,IF(COUNTIF($A$2:A352,A352)&gt;1,1,0))</f>
        <v>0</v>
      </c>
      <c r="P352" s="4" t="n">
        <f aca="false">IF(AND(A352&lt;&gt;"",J352&lt;&gt;"",M352&gt;0,N352&gt;0,O352=0),1,0)</f>
        <v>1</v>
      </c>
      <c r="Q352" s="7" t="n">
        <f aca="false">IF(P352=1,M352*N352,0)</f>
        <v>295.83</v>
      </c>
    </row>
    <row r="353" customFormat="false" ht="15" hidden="false" customHeight="false" outlineLevel="0" collapsed="false">
      <c r="A353" s="4" t="n">
        <v>10417</v>
      </c>
      <c r="B353" s="4" t="s">
        <v>996</v>
      </c>
      <c r="C353" s="4" t="s">
        <v>69</v>
      </c>
      <c r="D353" s="4" t="s">
        <v>179</v>
      </c>
      <c r="E353" s="4" t="s">
        <v>59</v>
      </c>
      <c r="F353" s="4" t="n">
        <v>2</v>
      </c>
      <c r="G353" s="4" t="s">
        <v>997</v>
      </c>
      <c r="H353" s="4" t="s">
        <v>54</v>
      </c>
      <c r="I353" s="4" t="s">
        <v>998</v>
      </c>
      <c r="J353" s="6" t="n">
        <f aca="false">IFERROR(DATEVALUE(B353),"")</f>
        <v>45500</v>
      </c>
      <c r="K353" s="4" t="str">
        <f aca="false">IF(A353="","",PROPER(TRIM(C353)))</f>
        <v>East</v>
      </c>
      <c r="L353" s="4" t="str">
        <f aca="false">IF(A353="","",PROPER(TRIM(D353)))</f>
        <v>Climbing Gear</v>
      </c>
      <c r="M353" s="4" t="n">
        <f aca="false">IFERROR(VALUE(F353),0)</f>
        <v>2</v>
      </c>
      <c r="N353" s="7" t="n">
        <f aca="false">IFERROR(VALUE(SUBSTITUTE(G353,"$","")),0)</f>
        <v>45.45</v>
      </c>
      <c r="O353" s="4" t="n">
        <f aca="false">IF(A353="",0,IF(COUNTIF($A$2:A353,A353)&gt;1,1,0))</f>
        <v>0</v>
      </c>
      <c r="P353" s="4" t="n">
        <f aca="false">IF(AND(A353&lt;&gt;"",J353&lt;&gt;"",M353&gt;0,N353&gt;0,O353=0),1,0)</f>
        <v>1</v>
      </c>
      <c r="Q353" s="7" t="n">
        <f aca="false">IF(P353=1,M353*N353,0)</f>
        <v>90.9</v>
      </c>
    </row>
    <row r="354" customFormat="false" ht="15" hidden="false" customHeight="false" outlineLevel="0" collapsed="false">
      <c r="A354" s="4" t="n">
        <v>10597</v>
      </c>
      <c r="B354" s="4" t="s">
        <v>999</v>
      </c>
      <c r="C354" s="4" t="s">
        <v>80</v>
      </c>
      <c r="D354" s="4" t="s">
        <v>64</v>
      </c>
      <c r="E354" s="4" t="s">
        <v>77</v>
      </c>
      <c r="F354" s="4" t="n">
        <v>2</v>
      </c>
      <c r="G354" s="4" t="s">
        <v>1000</v>
      </c>
      <c r="H354" s="4" t="s">
        <v>73</v>
      </c>
      <c r="I354" s="4" t="s">
        <v>1001</v>
      </c>
      <c r="J354" s="6" t="n">
        <f aca="false">IFERROR(DATEVALUE(B354),"")</f>
        <v>45567</v>
      </c>
      <c r="K354" s="4" t="str">
        <f aca="false">IF(A354="","",PROPER(TRIM(C354)))</f>
        <v>South</v>
      </c>
      <c r="L354" s="4" t="str">
        <f aca="false">IF(A354="","",PROPER(TRIM(D354)))</f>
        <v>Footwear</v>
      </c>
      <c r="M354" s="4" t="n">
        <f aca="false">IFERROR(VALUE(F354),0)</f>
        <v>2</v>
      </c>
      <c r="N354" s="7" t="n">
        <f aca="false">IFERROR(VALUE(SUBSTITUTE(G354,"$","")),0)</f>
        <v>132.54</v>
      </c>
      <c r="O354" s="4" t="n">
        <f aca="false">IF(A354="",0,IF(COUNTIF($A$2:A354,A354)&gt;1,1,0))</f>
        <v>0</v>
      </c>
      <c r="P354" s="4" t="n">
        <f aca="false">IF(AND(A354&lt;&gt;"",J354&lt;&gt;"",M354&gt;0,N354&gt;0,O354=0),1,0)</f>
        <v>1</v>
      </c>
      <c r="Q354" s="7" t="n">
        <f aca="false">IF(P354=1,M354*N354,0)</f>
        <v>265.08</v>
      </c>
    </row>
    <row r="355" customFormat="false" ht="15" hidden="false" customHeight="false" outlineLevel="0" collapsed="false">
      <c r="A355" s="4" t="n">
        <v>10487</v>
      </c>
      <c r="B355" s="4" t="s">
        <v>1002</v>
      </c>
      <c r="C355" s="4" t="s">
        <v>50</v>
      </c>
      <c r="D355" s="4" t="s">
        <v>101</v>
      </c>
      <c r="E355" s="4" t="s">
        <v>52</v>
      </c>
      <c r="F355" s="4" t="n">
        <v>4</v>
      </c>
      <c r="G355" s="4" t="s">
        <v>1003</v>
      </c>
      <c r="H355" s="4" t="s">
        <v>54</v>
      </c>
      <c r="I355" s="4" t="s">
        <v>508</v>
      </c>
      <c r="J355" s="6" t="n">
        <f aca="false">IFERROR(DATEVALUE(B355),"")</f>
        <v>45381</v>
      </c>
      <c r="K355" s="4" t="str">
        <f aca="false">IF(A355="","",PROPER(TRIM(C355)))</f>
        <v>Midwest</v>
      </c>
      <c r="L355" s="4" t="str">
        <f aca="false">IF(A355="","",PROPER(TRIM(D355)))</f>
        <v>Accessories</v>
      </c>
      <c r="M355" s="4" t="n">
        <f aca="false">IFERROR(VALUE(F355),0)</f>
        <v>4</v>
      </c>
      <c r="N355" s="7" t="n">
        <f aca="false">IFERROR(VALUE(SUBSTITUTE(G355,"$","")),0)</f>
        <v>85.07</v>
      </c>
      <c r="O355" s="4" t="n">
        <f aca="false">IF(A355="",0,IF(COUNTIF($A$2:A355,A355)&gt;1,1,0))</f>
        <v>0</v>
      </c>
      <c r="P355" s="4" t="n">
        <f aca="false">IF(AND(A355&lt;&gt;"",J355&lt;&gt;"",M355&gt;0,N355&gt;0,O355=0),1,0)</f>
        <v>1</v>
      </c>
      <c r="Q355" s="7" t="n">
        <f aca="false">IF(P355=1,M355*N355,0)</f>
        <v>340.28</v>
      </c>
    </row>
    <row r="356" customFormat="false" ht="15" hidden="false" customHeight="false" outlineLevel="0" collapsed="false">
      <c r="A356" s="4" t="n">
        <v>10570</v>
      </c>
      <c r="B356" s="4" t="s">
        <v>136</v>
      </c>
      <c r="C356" s="4" t="s">
        <v>229</v>
      </c>
      <c r="D356" s="4" t="s">
        <v>101</v>
      </c>
      <c r="E356" s="4" t="s">
        <v>52</v>
      </c>
      <c r="F356" s="4" t="n">
        <v>3</v>
      </c>
      <c r="G356" s="4" t="s">
        <v>1004</v>
      </c>
      <c r="H356" s="4" t="s">
        <v>47</v>
      </c>
      <c r="I356" s="4" t="s">
        <v>1005</v>
      </c>
      <c r="J356" s="6" t="str">
        <f aca="false">IFERROR(DATEVALUE(B356),"")</f>
        <v/>
      </c>
      <c r="K356" s="4" t="str">
        <f aca="false">IF(A356="","",PROPER(TRIM(C356)))</f>
        <v>Midwest</v>
      </c>
      <c r="L356" s="4" t="str">
        <f aca="false">IF(A356="","",PROPER(TRIM(D356)))</f>
        <v>Accessories</v>
      </c>
      <c r="M356" s="4" t="n">
        <f aca="false">IFERROR(VALUE(F356),0)</f>
        <v>3</v>
      </c>
      <c r="N356" s="7" t="n">
        <f aca="false">IFERROR(VALUE(SUBSTITUTE(G356,"$","")),0)</f>
        <v>84.49</v>
      </c>
      <c r="O356" s="4" t="n">
        <f aca="false">IF(A356="",0,IF(COUNTIF($A$2:A356,A356)&gt;1,1,0))</f>
        <v>0</v>
      </c>
      <c r="P356" s="4" t="n">
        <f aca="false">IF(AND(A356&lt;&gt;"",J356&lt;&gt;"",M356&gt;0,N356&gt;0,O356=0),1,0)</f>
        <v>0</v>
      </c>
      <c r="Q356" s="7" t="n">
        <f aca="false">IF(P356=1,M356*N356,0)</f>
        <v>0</v>
      </c>
    </row>
    <row r="357" customFormat="false" ht="15" hidden="false" customHeight="false" outlineLevel="0" collapsed="false">
      <c r="A357" s="4" t="n">
        <v>10482</v>
      </c>
      <c r="B357" s="4" t="s">
        <v>1006</v>
      </c>
      <c r="C357" s="4" t="s">
        <v>155</v>
      </c>
      <c r="D357" s="4" t="s">
        <v>58</v>
      </c>
      <c r="E357" s="4" t="s">
        <v>94</v>
      </c>
      <c r="F357" s="4" t="n">
        <v>3</v>
      </c>
      <c r="G357" s="4" t="s">
        <v>1007</v>
      </c>
      <c r="H357" s="4" t="s">
        <v>47</v>
      </c>
      <c r="I357" s="4" t="s">
        <v>279</v>
      </c>
      <c r="J357" s="6" t="n">
        <f aca="false">IFERROR(DATEVALUE(B357),"")</f>
        <v>45641</v>
      </c>
      <c r="K357" s="4" t="str">
        <f aca="false">IF(A357="","",PROPER(TRIM(C357)))</f>
        <v>South</v>
      </c>
      <c r="L357" s="4" t="str">
        <f aca="false">IF(A357="","",PROPER(TRIM(D357)))</f>
        <v>Climbing Gear</v>
      </c>
      <c r="M357" s="4" t="n">
        <f aca="false">IFERROR(VALUE(F357),0)</f>
        <v>3</v>
      </c>
      <c r="N357" s="7" t="n">
        <f aca="false">IFERROR(VALUE(SUBSTITUTE(G357,"$","")),0)</f>
        <v>153.68</v>
      </c>
      <c r="O357" s="4" t="n">
        <f aca="false">IF(A357="",0,IF(COUNTIF($A$2:A357,A357)&gt;1,1,0))</f>
        <v>0</v>
      </c>
      <c r="P357" s="4" t="n">
        <f aca="false">IF(AND(A357&lt;&gt;"",J357&lt;&gt;"",M357&gt;0,N357&gt;0,O357=0),1,0)</f>
        <v>1</v>
      </c>
      <c r="Q357" s="7" t="n">
        <f aca="false">IF(P357=1,M357*N357,0)</f>
        <v>461.04</v>
      </c>
    </row>
    <row r="358" customFormat="false" ht="15" hidden="false" customHeight="false" outlineLevel="0" collapsed="false">
      <c r="A358" s="4" t="n">
        <v>10523</v>
      </c>
      <c r="B358" s="4" t="s">
        <v>1008</v>
      </c>
      <c r="C358" s="4" t="s">
        <v>315</v>
      </c>
      <c r="D358" s="4" t="s">
        <v>281</v>
      </c>
      <c r="E358" s="4" t="s">
        <v>448</v>
      </c>
      <c r="F358" s="4" t="n">
        <v>1</v>
      </c>
      <c r="G358" s="4" t="s">
        <v>1009</v>
      </c>
      <c r="H358" s="4" t="s">
        <v>47</v>
      </c>
      <c r="I358" s="4" t="s">
        <v>1010</v>
      </c>
      <c r="J358" s="6" t="n">
        <f aca="false">IFERROR(DATEVALUE(B358),"")</f>
        <v>45410</v>
      </c>
      <c r="K358" s="4" t="str">
        <f aca="false">IF(A358="","",PROPER(TRIM(C358)))</f>
        <v>South</v>
      </c>
      <c r="L358" s="4" t="str">
        <f aca="false">IF(A358="","",PROPER(TRIM(D358)))</f>
        <v>Camping Gear</v>
      </c>
      <c r="M358" s="4" t="n">
        <f aca="false">IFERROR(VALUE(F358),0)</f>
        <v>1</v>
      </c>
      <c r="N358" s="7" t="n">
        <f aca="false">IFERROR(VALUE(SUBSTITUTE(G358,"$","")),0)</f>
        <v>183.34</v>
      </c>
      <c r="O358" s="4" t="n">
        <f aca="false">IF(A358="",0,IF(COUNTIF($A$2:A358,A358)&gt;1,1,0))</f>
        <v>0</v>
      </c>
      <c r="P358" s="4" t="n">
        <f aca="false">IF(AND(A358&lt;&gt;"",J358&lt;&gt;"",M358&gt;0,N358&gt;0,O358=0),1,0)</f>
        <v>1</v>
      </c>
      <c r="Q358" s="7" t="n">
        <f aca="false">IF(P358=1,M358*N358,0)</f>
        <v>183.34</v>
      </c>
    </row>
    <row r="359" customFormat="false" ht="15" hidden="false" customHeight="false" outlineLevel="0" collapsed="false">
      <c r="A359" s="4" t="n">
        <v>10490</v>
      </c>
      <c r="B359" s="4" t="s">
        <v>1011</v>
      </c>
      <c r="C359" s="4" t="s">
        <v>93</v>
      </c>
      <c r="D359" s="4" t="s">
        <v>101</v>
      </c>
      <c r="E359" s="4" t="s">
        <v>210</v>
      </c>
      <c r="F359" s="4" t="n">
        <v>2</v>
      </c>
      <c r="G359" s="4" t="s">
        <v>1012</v>
      </c>
      <c r="H359" s="4" t="s">
        <v>73</v>
      </c>
      <c r="I359" s="4" t="s">
        <v>319</v>
      </c>
      <c r="J359" s="6" t="n">
        <f aca="false">IFERROR(DATEVALUE(B359),"")</f>
        <v>45433</v>
      </c>
      <c r="K359" s="4" t="str">
        <f aca="false">IF(A359="","",PROPER(TRIM(C359)))</f>
        <v>West</v>
      </c>
      <c r="L359" s="4" t="str">
        <f aca="false">IF(A359="","",PROPER(TRIM(D359)))</f>
        <v>Accessories</v>
      </c>
      <c r="M359" s="4" t="n">
        <f aca="false">IFERROR(VALUE(F359),0)</f>
        <v>2</v>
      </c>
      <c r="N359" s="7" t="n">
        <f aca="false">IFERROR(VALUE(SUBSTITUTE(G359,"$","")),0)</f>
        <v>35.42</v>
      </c>
      <c r="O359" s="4" t="n">
        <f aca="false">IF(A359="",0,IF(COUNTIF($A$2:A359,A359)&gt;1,1,0))</f>
        <v>0</v>
      </c>
      <c r="P359" s="4" t="n">
        <f aca="false">IF(AND(A359&lt;&gt;"",J359&lt;&gt;"",M359&gt;0,N359&gt;0,O359=0),1,0)</f>
        <v>1</v>
      </c>
      <c r="Q359" s="7" t="n">
        <f aca="false">IF(P359=1,M359*N359,0)</f>
        <v>70.84</v>
      </c>
    </row>
    <row r="360" customFormat="false" ht="15" hidden="false" customHeight="false" outlineLevel="0" collapsed="false">
      <c r="A360" s="4" t="n">
        <v>10380</v>
      </c>
      <c r="B360" s="4" t="s">
        <v>1013</v>
      </c>
      <c r="C360" s="4" t="s">
        <v>110</v>
      </c>
      <c r="D360" s="4" t="s">
        <v>156</v>
      </c>
      <c r="E360" s="4" t="s">
        <v>188</v>
      </c>
      <c r="F360" s="4" t="n">
        <v>5</v>
      </c>
      <c r="G360" s="4" t="s">
        <v>1014</v>
      </c>
      <c r="H360" s="4" t="s">
        <v>47</v>
      </c>
      <c r="I360" s="4" t="s">
        <v>1015</v>
      </c>
      <c r="J360" s="6" t="n">
        <f aca="false">IFERROR(DATEVALUE(B360),"")</f>
        <v>45451</v>
      </c>
      <c r="K360" s="4" t="str">
        <f aca="false">IF(A360="","",PROPER(TRIM(C360)))</f>
        <v>Midwest</v>
      </c>
      <c r="L360" s="4" t="str">
        <f aca="false">IF(A360="","",PROPER(TRIM(D360)))</f>
        <v>Climbing Gear</v>
      </c>
      <c r="M360" s="4" t="n">
        <f aca="false">IFERROR(VALUE(F360),0)</f>
        <v>5</v>
      </c>
      <c r="N360" s="7" t="n">
        <f aca="false">IFERROR(VALUE(SUBSTITUTE(G360,"$","")),0)</f>
        <v>19.43</v>
      </c>
      <c r="O360" s="4" t="n">
        <f aca="false">IF(A360="",0,IF(COUNTIF($A$2:A360,A360)&gt;1,1,0))</f>
        <v>0</v>
      </c>
      <c r="P360" s="4" t="n">
        <f aca="false">IF(AND(A360&lt;&gt;"",J360&lt;&gt;"",M360&gt;0,N360&gt;0,O360=0),1,0)</f>
        <v>1</v>
      </c>
      <c r="Q360" s="7" t="n">
        <f aca="false">IF(P360=1,M360*N360,0)</f>
        <v>97.15</v>
      </c>
    </row>
    <row r="361" customFormat="false" ht="15" hidden="false" customHeight="false" outlineLevel="0" collapsed="false">
      <c r="A361" s="4" t="n">
        <v>10588</v>
      </c>
      <c r="B361" s="4" t="s">
        <v>1016</v>
      </c>
      <c r="C361" s="4" t="s">
        <v>155</v>
      </c>
      <c r="D361" s="4" t="s">
        <v>333</v>
      </c>
      <c r="E361" s="4" t="s">
        <v>52</v>
      </c>
      <c r="F361" s="4" t="n">
        <v>1</v>
      </c>
      <c r="G361" s="4" t="s">
        <v>1017</v>
      </c>
      <c r="H361" s="4" t="s">
        <v>47</v>
      </c>
      <c r="I361" s="4" t="s">
        <v>122</v>
      </c>
      <c r="J361" s="6" t="n">
        <f aca="false">IFERROR(DATEVALUE(B361),"")</f>
        <v>45557</v>
      </c>
      <c r="K361" s="4" t="str">
        <f aca="false">IF(A361="","",PROPER(TRIM(C361)))</f>
        <v>South</v>
      </c>
      <c r="L361" s="4" t="str">
        <f aca="false">IF(A361="","",PROPER(TRIM(D361)))</f>
        <v>Accessories</v>
      </c>
      <c r="M361" s="4" t="n">
        <f aca="false">IFERROR(VALUE(F361),0)</f>
        <v>1</v>
      </c>
      <c r="N361" s="7" t="n">
        <f aca="false">IFERROR(VALUE(SUBSTITUTE(G361,"$","")),0)</f>
        <v>82.01</v>
      </c>
      <c r="O361" s="4" t="n">
        <f aca="false">IF(A361="",0,IF(COUNTIF($A$2:A361,A361)&gt;1,1,0))</f>
        <v>0</v>
      </c>
      <c r="P361" s="4" t="n">
        <f aca="false">IF(AND(A361&lt;&gt;"",J361&lt;&gt;"",M361&gt;0,N361&gt;0,O361=0),1,0)</f>
        <v>1</v>
      </c>
      <c r="Q361" s="7" t="n">
        <f aca="false">IF(P361=1,M361*N361,0)</f>
        <v>82.01</v>
      </c>
    </row>
    <row r="362" customFormat="false" ht="15" hidden="false" customHeight="false" outlineLevel="0" collapsed="false">
      <c r="A362" s="4" t="n">
        <v>10438</v>
      </c>
      <c r="B362" s="4" t="s">
        <v>530</v>
      </c>
      <c r="C362" s="4" t="s">
        <v>178</v>
      </c>
      <c r="D362" s="4" t="s">
        <v>70</v>
      </c>
      <c r="E362" s="4" t="s">
        <v>448</v>
      </c>
      <c r="F362" s="4" t="n">
        <v>1</v>
      </c>
      <c r="G362" s="4" t="s">
        <v>1018</v>
      </c>
      <c r="H362" s="4" t="s">
        <v>54</v>
      </c>
      <c r="I362" s="4" t="s">
        <v>685</v>
      </c>
      <c r="J362" s="6" t="n">
        <f aca="false">IFERROR(DATEVALUE(B362),"")</f>
        <v>45613</v>
      </c>
      <c r="K362" s="4" t="str">
        <f aca="false">IF(A362="","",PROPER(TRIM(C362)))</f>
        <v>South</v>
      </c>
      <c r="L362" s="4" t="str">
        <f aca="false">IF(A362="","",PROPER(TRIM(D362)))</f>
        <v>Camping Gear</v>
      </c>
      <c r="M362" s="4" t="n">
        <f aca="false">IFERROR(VALUE(F362),0)</f>
        <v>1</v>
      </c>
      <c r="N362" s="7" t="n">
        <f aca="false">IFERROR(VALUE(SUBSTITUTE(G362,"$","")),0)</f>
        <v>214.73</v>
      </c>
      <c r="O362" s="4" t="n">
        <f aca="false">IF(A362="",0,IF(COUNTIF($A$2:A362,A362)&gt;1,1,0))</f>
        <v>0</v>
      </c>
      <c r="P362" s="4" t="n">
        <f aca="false">IF(AND(A362&lt;&gt;"",J362&lt;&gt;"",M362&gt;0,N362&gt;0,O362=0),1,0)</f>
        <v>1</v>
      </c>
      <c r="Q362" s="7" t="n">
        <f aca="false">IF(P362=1,M362*N362,0)</f>
        <v>214.73</v>
      </c>
    </row>
    <row r="363" customFormat="false" ht="15" hidden="false" customHeight="false" outlineLevel="0" collapsed="false">
      <c r="A363" s="4" t="n">
        <v>10139</v>
      </c>
      <c r="B363" s="4" t="s">
        <v>1019</v>
      </c>
      <c r="C363" s="4" t="s">
        <v>332</v>
      </c>
      <c r="D363" s="4" t="s">
        <v>76</v>
      </c>
      <c r="E363" s="4" t="s">
        <v>151</v>
      </c>
      <c r="F363" s="4" t="n">
        <v>4</v>
      </c>
      <c r="G363" s="4" t="s">
        <v>1020</v>
      </c>
      <c r="H363" s="4" t="s">
        <v>73</v>
      </c>
      <c r="I363" s="4" t="s">
        <v>368</v>
      </c>
      <c r="J363" s="6" t="n">
        <f aca="false">IFERROR(DATEVALUE(B363),"")</f>
        <v>45746</v>
      </c>
      <c r="K363" s="4" t="str">
        <f aca="false">IF(A363="","",PROPER(TRIM(C363)))</f>
        <v>West</v>
      </c>
      <c r="L363" s="4" t="str">
        <f aca="false">IF(A363="","",PROPER(TRIM(D363)))</f>
        <v>Footwear</v>
      </c>
      <c r="M363" s="4" t="n">
        <f aca="false">IFERROR(VALUE(F363),0)</f>
        <v>4</v>
      </c>
      <c r="N363" s="7" t="n">
        <f aca="false">IFERROR(VALUE(SUBSTITUTE(G363,"$","")),0)</f>
        <v>154.6</v>
      </c>
      <c r="O363" s="4" t="n">
        <f aca="false">IF(A363="",0,IF(COUNTIF($A$2:A363,A363)&gt;1,1,0))</f>
        <v>0</v>
      </c>
      <c r="P363" s="4" t="n">
        <f aca="false">IF(AND(A363&lt;&gt;"",J363&lt;&gt;"",M363&gt;0,N363&gt;0,O363=0),1,0)</f>
        <v>1</v>
      </c>
      <c r="Q363" s="7" t="n">
        <f aca="false">IF(P363=1,M363*N363,0)</f>
        <v>618.4</v>
      </c>
    </row>
    <row r="364" customFormat="false" ht="15" hidden="false" customHeight="false" outlineLevel="0" collapsed="false">
      <c r="A364" s="4" t="n">
        <v>10105</v>
      </c>
      <c r="B364" s="4" t="s">
        <v>1021</v>
      </c>
      <c r="C364" s="4" t="s">
        <v>133</v>
      </c>
      <c r="D364" s="4" t="s">
        <v>387</v>
      </c>
      <c r="E364" s="4" t="s">
        <v>71</v>
      </c>
      <c r="F364" s="4" t="n">
        <v>3</v>
      </c>
      <c r="G364" s="4" t="s">
        <v>1022</v>
      </c>
      <c r="H364" s="4" t="s">
        <v>47</v>
      </c>
      <c r="I364" s="4" t="s">
        <v>1023</v>
      </c>
      <c r="J364" s="6" t="n">
        <f aca="false">IFERROR(DATEVALUE(B364),"")</f>
        <v>45438</v>
      </c>
      <c r="K364" s="4" t="str">
        <f aca="false">IF(A364="","",PROPER(TRIM(C364)))</f>
        <v>East</v>
      </c>
      <c r="L364" s="4" t="str">
        <f aca="false">IF(A364="","",PROPER(TRIM(D364)))</f>
        <v>Camping Gear</v>
      </c>
      <c r="M364" s="4" t="n">
        <f aca="false">IFERROR(VALUE(F364),0)</f>
        <v>3</v>
      </c>
      <c r="N364" s="7" t="n">
        <f aca="false">IFERROR(VALUE(SUBSTITUTE(G364,"$","")),0)</f>
        <v>68.37</v>
      </c>
      <c r="O364" s="4" t="n">
        <f aca="false">IF(A364="",0,IF(COUNTIF($A$2:A364,A364)&gt;1,1,0))</f>
        <v>0</v>
      </c>
      <c r="P364" s="4" t="n">
        <f aca="false">IF(AND(A364&lt;&gt;"",J364&lt;&gt;"",M364&gt;0,N364&gt;0,O364=0),1,0)</f>
        <v>1</v>
      </c>
      <c r="Q364" s="7" t="n">
        <f aca="false">IF(P364=1,M364*N364,0)</f>
        <v>205.11</v>
      </c>
    </row>
    <row r="365" customFormat="false" ht="15" hidden="false" customHeight="false" outlineLevel="0" collapsed="false">
      <c r="A365" s="4" t="n">
        <v>10107</v>
      </c>
      <c r="B365" s="4" t="s">
        <v>1024</v>
      </c>
      <c r="C365" s="4" t="s">
        <v>332</v>
      </c>
      <c r="D365" s="4" t="s">
        <v>164</v>
      </c>
      <c r="E365" s="4" t="s">
        <v>116</v>
      </c>
      <c r="F365" s="4" t="n">
        <v>3</v>
      </c>
      <c r="G365" s="4" t="s">
        <v>1025</v>
      </c>
      <c r="H365" s="4" t="s">
        <v>47</v>
      </c>
      <c r="I365" s="4" t="s">
        <v>1026</v>
      </c>
      <c r="J365" s="6" t="n">
        <f aca="false">IFERROR(DATEVALUE(B365),"")</f>
        <v>45460</v>
      </c>
      <c r="K365" s="4" t="str">
        <f aca="false">IF(A365="","",PROPER(TRIM(C365)))</f>
        <v>West</v>
      </c>
      <c r="L365" s="4" t="str">
        <f aca="false">IF(A365="","",PROPER(TRIM(D365)))</f>
        <v>Apparel</v>
      </c>
      <c r="M365" s="4" t="n">
        <f aca="false">IFERROR(VALUE(F365),0)</f>
        <v>3</v>
      </c>
      <c r="N365" s="7" t="n">
        <f aca="false">IFERROR(VALUE(SUBSTITUTE(G365,"$","")),0)</f>
        <v>67.31</v>
      </c>
      <c r="O365" s="4" t="n">
        <f aca="false">IF(A365="",0,IF(COUNTIF($A$2:A365,A365)&gt;1,1,0))</f>
        <v>0</v>
      </c>
      <c r="P365" s="4" t="n">
        <f aca="false">IF(AND(A365&lt;&gt;"",J365&lt;&gt;"",M365&gt;0,N365&gt;0,O365=0),1,0)</f>
        <v>1</v>
      </c>
      <c r="Q365" s="7" t="n">
        <f aca="false">IF(P365=1,M365*N365,0)</f>
        <v>201.93</v>
      </c>
    </row>
    <row r="366" customFormat="false" ht="15" hidden="false" customHeight="false" outlineLevel="0" collapsed="false">
      <c r="A366" s="4" t="n">
        <v>10126</v>
      </c>
      <c r="B366" s="4" t="s">
        <v>1027</v>
      </c>
      <c r="C366" s="4" t="s">
        <v>105</v>
      </c>
      <c r="D366" s="4" t="s">
        <v>64</v>
      </c>
      <c r="E366" s="4" t="s">
        <v>151</v>
      </c>
      <c r="F366" s="4" t="n">
        <v>5</v>
      </c>
      <c r="G366" s="4" t="s">
        <v>1028</v>
      </c>
      <c r="H366" s="4" t="s">
        <v>47</v>
      </c>
      <c r="I366" s="4" t="s">
        <v>376</v>
      </c>
      <c r="J366" s="6" t="n">
        <f aca="false">IFERROR(DATEVALUE(B366),"")</f>
        <v>45455</v>
      </c>
      <c r="K366" s="4" t="str">
        <f aca="false">IF(A366="","",PROPER(TRIM(C366)))</f>
        <v>Midwest</v>
      </c>
      <c r="L366" s="4" t="str">
        <f aca="false">IF(A366="","",PROPER(TRIM(D366)))</f>
        <v>Footwear</v>
      </c>
      <c r="M366" s="4" t="n">
        <f aca="false">IFERROR(VALUE(F366),0)</f>
        <v>5</v>
      </c>
      <c r="N366" s="7" t="n">
        <f aca="false">IFERROR(VALUE(SUBSTITUTE(G366,"$","")),0)</f>
        <v>141.84</v>
      </c>
      <c r="O366" s="4" t="n">
        <f aca="false">IF(A366="",0,IF(COUNTIF($A$2:A366,A366)&gt;1,1,0))</f>
        <v>0</v>
      </c>
      <c r="P366" s="4" t="n">
        <f aca="false">IF(AND(A366&lt;&gt;"",J366&lt;&gt;"",M366&gt;0,N366&gt;0,O366=0),1,0)</f>
        <v>1</v>
      </c>
      <c r="Q366" s="7" t="n">
        <f aca="false">IF(P366=1,M366*N366,0)</f>
        <v>709.2</v>
      </c>
    </row>
    <row r="367" customFormat="false" ht="15" hidden="false" customHeight="false" outlineLevel="0" collapsed="false">
      <c r="A367" s="4" t="n">
        <v>10151</v>
      </c>
      <c r="B367" s="4" t="s">
        <v>1029</v>
      </c>
      <c r="C367" s="4" t="s">
        <v>178</v>
      </c>
      <c r="D367" s="4" t="s">
        <v>281</v>
      </c>
      <c r="E367" s="4" t="s">
        <v>448</v>
      </c>
      <c r="F367" s="4" t="n">
        <v>1</v>
      </c>
      <c r="G367" s="4" t="s">
        <v>1030</v>
      </c>
      <c r="H367" s="4" t="s">
        <v>54</v>
      </c>
      <c r="I367" s="4" t="s">
        <v>485</v>
      </c>
      <c r="J367" s="6" t="n">
        <f aca="false">IFERROR(DATEVALUE(B367),"")</f>
        <v>45440</v>
      </c>
      <c r="K367" s="4" t="str">
        <f aca="false">IF(A367="","",PROPER(TRIM(C367)))</f>
        <v>South</v>
      </c>
      <c r="L367" s="4" t="str">
        <f aca="false">IF(A367="","",PROPER(TRIM(D367)))</f>
        <v>Camping Gear</v>
      </c>
      <c r="M367" s="4" t="n">
        <f aca="false">IFERROR(VALUE(F367),0)</f>
        <v>1</v>
      </c>
      <c r="N367" s="7" t="n">
        <f aca="false">IFERROR(VALUE(SUBSTITUTE(G367,"$","")),0)</f>
        <v>196.49</v>
      </c>
      <c r="O367" s="4" t="n">
        <f aca="false">IF(A367="",0,IF(COUNTIF($A$2:A367,A367)&gt;1,1,0))</f>
        <v>0</v>
      </c>
      <c r="P367" s="4" t="n">
        <f aca="false">IF(AND(A367&lt;&gt;"",J367&lt;&gt;"",M367&gt;0,N367&gt;0,O367=0),1,0)</f>
        <v>1</v>
      </c>
      <c r="Q367" s="7" t="n">
        <f aca="false">IF(P367=1,M367*N367,0)</f>
        <v>196.49</v>
      </c>
    </row>
    <row r="368" customFormat="false" ht="15" hidden="false" customHeight="false" outlineLevel="0" collapsed="false">
      <c r="A368" s="4" t="n">
        <v>10186</v>
      </c>
      <c r="B368" s="4" t="s">
        <v>720</v>
      </c>
      <c r="C368" s="4" t="s">
        <v>93</v>
      </c>
      <c r="D368" s="4" t="s">
        <v>575</v>
      </c>
      <c r="E368" s="4" t="s">
        <v>45</v>
      </c>
      <c r="F368" s="4" t="n">
        <v>3</v>
      </c>
      <c r="G368" s="4" t="s">
        <v>1031</v>
      </c>
      <c r="H368" s="4" t="s">
        <v>73</v>
      </c>
      <c r="I368" s="4" t="s">
        <v>1032</v>
      </c>
      <c r="J368" s="6" t="n">
        <f aca="false">IFERROR(DATEVALUE(B368),"")</f>
        <v>45819</v>
      </c>
      <c r="K368" s="4" t="str">
        <f aca="false">IF(A368="","",PROPER(TRIM(C368)))</f>
        <v>West</v>
      </c>
      <c r="L368" s="4" t="str">
        <f aca="false">IF(A368="","",PROPER(TRIM(D368)))</f>
        <v>Accessories</v>
      </c>
      <c r="M368" s="4" t="n">
        <f aca="false">IFERROR(VALUE(F368),0)</f>
        <v>3</v>
      </c>
      <c r="N368" s="7" t="n">
        <f aca="false">IFERROR(VALUE(SUBSTITUTE(G368,"$","")),0)</f>
        <v>52.82</v>
      </c>
      <c r="O368" s="4" t="n">
        <f aca="false">IF(A368="",0,IF(COUNTIF($A$2:A368,A368)&gt;1,1,0))</f>
        <v>0</v>
      </c>
      <c r="P368" s="4" t="n">
        <f aca="false">IF(AND(A368&lt;&gt;"",J368&lt;&gt;"",M368&gt;0,N368&gt;0,O368=0),1,0)</f>
        <v>1</v>
      </c>
      <c r="Q368" s="7" t="n">
        <f aca="false">IF(P368=1,M368*N368,0)</f>
        <v>158.46</v>
      </c>
    </row>
    <row r="369" customFormat="false" ht="15" hidden="false" customHeight="false" outlineLevel="0" collapsed="false">
      <c r="A369" s="4" t="n">
        <v>10668</v>
      </c>
      <c r="B369" s="4" t="s">
        <v>1033</v>
      </c>
      <c r="C369" s="4" t="s">
        <v>321</v>
      </c>
      <c r="D369" s="4" t="s">
        <v>129</v>
      </c>
      <c r="E369" s="4" t="s">
        <v>94</v>
      </c>
      <c r="F369" s="4" t="n">
        <v>1</v>
      </c>
      <c r="G369" s="4" t="s">
        <v>1034</v>
      </c>
      <c r="H369" s="4" t="s">
        <v>47</v>
      </c>
      <c r="I369" s="4" t="s">
        <v>196</v>
      </c>
      <c r="J369" s="6" t="n">
        <f aca="false">IFERROR(DATEVALUE(B369),"")</f>
        <v>45553</v>
      </c>
      <c r="K369" s="4" t="str">
        <f aca="false">IF(A369="","",PROPER(TRIM(C369)))</f>
        <v>West</v>
      </c>
      <c r="L369" s="4" t="str">
        <f aca="false">IF(A369="","",PROPER(TRIM(D369)))</f>
        <v>Climbing Gear</v>
      </c>
      <c r="M369" s="4" t="n">
        <f aca="false">IFERROR(VALUE(F369),0)</f>
        <v>1</v>
      </c>
      <c r="N369" s="7" t="n">
        <f aca="false">IFERROR(VALUE(SUBSTITUTE(G369,"$","")),0)</f>
        <v>159.18</v>
      </c>
      <c r="O369" s="4" t="n">
        <f aca="false">IF(A369="",0,IF(COUNTIF($A$2:A369,A369)&gt;1,1,0))</f>
        <v>0</v>
      </c>
      <c r="P369" s="4" t="n">
        <f aca="false">IF(AND(A369&lt;&gt;"",J369&lt;&gt;"",M369&gt;0,N369&gt;0,O369=0),1,0)</f>
        <v>1</v>
      </c>
      <c r="Q369" s="7" t="n">
        <f aca="false">IF(P369=1,M369*N369,0)</f>
        <v>159.18</v>
      </c>
    </row>
    <row r="370" customFormat="false" ht="15" hidden="false" customHeight="false" outlineLevel="0" collapsed="false">
      <c r="A370" s="4" t="n">
        <v>10094</v>
      </c>
      <c r="B370" s="4" t="s">
        <v>1035</v>
      </c>
      <c r="C370" s="4" t="s">
        <v>149</v>
      </c>
      <c r="D370" s="4" t="s">
        <v>217</v>
      </c>
      <c r="E370" s="4" t="s">
        <v>243</v>
      </c>
      <c r="F370" s="4" t="n">
        <v>1</v>
      </c>
      <c r="G370" s="4"/>
      <c r="H370" s="4" t="s">
        <v>73</v>
      </c>
      <c r="I370" s="4" t="s">
        <v>1036</v>
      </c>
      <c r="J370" s="6" t="n">
        <f aca="false">IFERROR(DATEVALUE(B370),"")</f>
        <v>45535</v>
      </c>
      <c r="K370" s="4" t="str">
        <f aca="false">IF(A370="","",PROPER(TRIM(C370)))</f>
        <v>East</v>
      </c>
      <c r="L370" s="4" t="str">
        <f aca="false">IF(A370="","",PROPER(TRIM(D370)))</f>
        <v>Apparel</v>
      </c>
      <c r="M370" s="4" t="n">
        <f aca="false">IFERROR(VALUE(F370),0)</f>
        <v>1</v>
      </c>
      <c r="N370" s="7" t="n">
        <f aca="false">IFERROR(VALUE(SUBSTITUTE(G370,"$","")),0)</f>
        <v>0</v>
      </c>
      <c r="O370" s="4" t="n">
        <f aca="false">IF(A370="",0,IF(COUNTIF($A$2:A370,A370)&gt;1,1,0))</f>
        <v>0</v>
      </c>
      <c r="P370" s="4" t="n">
        <f aca="false">IF(AND(A370&lt;&gt;"",J370&lt;&gt;"",M370&gt;0,N370&gt;0,O370=0),1,0)</f>
        <v>0</v>
      </c>
      <c r="Q370" s="7" t="n">
        <f aca="false">IF(P370=1,M370*N370,0)</f>
        <v>0</v>
      </c>
    </row>
    <row r="371" customFormat="false" ht="15" hidden="false" customHeight="false" outlineLevel="0" collapsed="false">
      <c r="A371" s="4" t="n">
        <v>10513</v>
      </c>
      <c r="B371" s="4" t="s">
        <v>1037</v>
      </c>
      <c r="C371" s="4" t="s">
        <v>155</v>
      </c>
      <c r="D371" s="4" t="s">
        <v>150</v>
      </c>
      <c r="E371" s="4" t="s">
        <v>77</v>
      </c>
      <c r="F371" s="4" t="n">
        <v>2</v>
      </c>
      <c r="G371" s="4" t="s">
        <v>1038</v>
      </c>
      <c r="H371" s="4" t="s">
        <v>47</v>
      </c>
      <c r="I371" s="4" t="s">
        <v>621</v>
      </c>
      <c r="J371" s="6" t="n">
        <f aca="false">IFERROR(DATEVALUE(B371),"")</f>
        <v>45366</v>
      </c>
      <c r="K371" s="4" t="str">
        <f aca="false">IF(A371="","",PROPER(TRIM(C371)))</f>
        <v>South</v>
      </c>
      <c r="L371" s="4" t="str">
        <f aca="false">IF(A371="","",PROPER(TRIM(D371)))</f>
        <v>Footwear</v>
      </c>
      <c r="M371" s="4" t="n">
        <f aca="false">IFERROR(VALUE(F371),0)</f>
        <v>2</v>
      </c>
      <c r="N371" s="7" t="n">
        <f aca="false">IFERROR(VALUE(SUBSTITUTE(G371,"$","")),0)</f>
        <v>142.04</v>
      </c>
      <c r="O371" s="4" t="n">
        <f aca="false">IF(A371="",0,IF(COUNTIF($A$2:A371,A371)&gt;1,1,0))</f>
        <v>0</v>
      </c>
      <c r="P371" s="4" t="n">
        <f aca="false">IF(AND(A371&lt;&gt;"",J371&lt;&gt;"",M371&gt;0,N371&gt;0,O371=0),1,0)</f>
        <v>1</v>
      </c>
      <c r="Q371" s="7" t="n">
        <f aca="false">IF(P371=1,M371*N371,0)</f>
        <v>284.08</v>
      </c>
    </row>
    <row r="372" customFormat="false" ht="15" hidden="false" customHeight="false" outlineLevel="0" collapsed="false">
      <c r="A372" s="4" t="n">
        <v>10070</v>
      </c>
      <c r="B372" s="4" t="s">
        <v>1039</v>
      </c>
      <c r="C372" s="4" t="s">
        <v>187</v>
      </c>
      <c r="D372" s="4" t="s">
        <v>58</v>
      </c>
      <c r="E372" s="4" t="s">
        <v>94</v>
      </c>
      <c r="F372" s="4" t="n">
        <v>1</v>
      </c>
      <c r="G372" s="4" t="s">
        <v>1040</v>
      </c>
      <c r="H372" s="4" t="s">
        <v>47</v>
      </c>
      <c r="I372" s="4" t="s">
        <v>1041</v>
      </c>
      <c r="J372" s="6" t="n">
        <f aca="false">IFERROR(DATEVALUE(B372),"")</f>
        <v>45479</v>
      </c>
      <c r="K372" s="4" t="str">
        <f aca="false">IF(A372="","",PROPER(TRIM(C372)))</f>
        <v>East</v>
      </c>
      <c r="L372" s="4" t="str">
        <f aca="false">IF(A372="","",PROPER(TRIM(D372)))</f>
        <v>Climbing Gear</v>
      </c>
      <c r="M372" s="4" t="n">
        <f aca="false">IFERROR(VALUE(F372),0)</f>
        <v>1</v>
      </c>
      <c r="N372" s="7" t="n">
        <f aca="false">IFERROR(VALUE(SUBSTITUTE(G372,"$","")),0)</f>
        <v>177.16</v>
      </c>
      <c r="O372" s="4" t="n">
        <f aca="false">IF(A372="",0,IF(COUNTIF($A$2:A372,A372)&gt;1,1,0))</f>
        <v>0</v>
      </c>
      <c r="P372" s="4" t="n">
        <f aca="false">IF(AND(A372&lt;&gt;"",J372&lt;&gt;"",M372&gt;0,N372&gt;0,O372=0),1,0)</f>
        <v>1</v>
      </c>
      <c r="Q372" s="7" t="n">
        <f aca="false">IF(P372=1,M372*N372,0)</f>
        <v>177.16</v>
      </c>
    </row>
    <row r="373" customFormat="false" ht="15" hidden="false" customHeight="false" outlineLevel="0" collapsed="false">
      <c r="A373" s="4" t="n">
        <v>10432</v>
      </c>
      <c r="B373" s="4" t="s">
        <v>1042</v>
      </c>
      <c r="C373" s="4" t="s">
        <v>50</v>
      </c>
      <c r="D373" s="4" t="s">
        <v>81</v>
      </c>
      <c r="E373" s="4" t="s">
        <v>65</v>
      </c>
      <c r="F373" s="4" t="n">
        <v>2</v>
      </c>
      <c r="G373" s="4" t="s">
        <v>1043</v>
      </c>
      <c r="H373" s="4" t="s">
        <v>73</v>
      </c>
      <c r="I373" s="4" t="s">
        <v>978</v>
      </c>
      <c r="J373" s="6" t="n">
        <f aca="false">IFERROR(DATEVALUE(B373),"")</f>
        <v>45345</v>
      </c>
      <c r="K373" s="4" t="str">
        <f aca="false">IF(A373="","",PROPER(TRIM(C373)))</f>
        <v>Midwest</v>
      </c>
      <c r="L373" s="4" t="str">
        <f aca="false">IF(A373="","",PROPER(TRIM(D373)))</f>
        <v>Footwear</v>
      </c>
      <c r="M373" s="4" t="n">
        <f aca="false">IFERROR(VALUE(F373),0)</f>
        <v>2</v>
      </c>
      <c r="N373" s="7" t="n">
        <f aca="false">IFERROR(VALUE(SUBSTITUTE(G373,"$","")),0)</f>
        <v>58.13</v>
      </c>
      <c r="O373" s="4" t="n">
        <f aca="false">IF(A373="",0,IF(COUNTIF($A$2:A373,A373)&gt;1,1,0))</f>
        <v>0</v>
      </c>
      <c r="P373" s="4" t="n">
        <f aca="false">IF(AND(A373&lt;&gt;"",J373&lt;&gt;"",M373&gt;0,N373&gt;0,O373=0),1,0)</f>
        <v>1</v>
      </c>
      <c r="Q373" s="7" t="n">
        <f aca="false">IF(P373=1,M373*N373,0)</f>
        <v>116.26</v>
      </c>
    </row>
    <row r="374" customFormat="false" ht="15" hidden="false" customHeight="false" outlineLevel="0" collapsed="false">
      <c r="A374" s="4" t="n">
        <v>10481</v>
      </c>
      <c r="B374" s="4" t="s">
        <v>781</v>
      </c>
      <c r="C374" s="4" t="s">
        <v>57</v>
      </c>
      <c r="D374" s="4" t="s">
        <v>141</v>
      </c>
      <c r="E374" s="4" t="s">
        <v>243</v>
      </c>
      <c r="F374" s="4" t="n">
        <v>3</v>
      </c>
      <c r="G374" s="4" t="s">
        <v>1044</v>
      </c>
      <c r="H374" s="4" t="s">
        <v>54</v>
      </c>
      <c r="I374" s="4" t="s">
        <v>1045</v>
      </c>
      <c r="J374" s="6" t="n">
        <f aca="false">IFERROR(DATEVALUE(B374),"")</f>
        <v>45646</v>
      </c>
      <c r="K374" s="4" t="str">
        <f aca="false">IF(A374="","",PROPER(TRIM(C374)))</f>
        <v>West</v>
      </c>
      <c r="L374" s="4" t="str">
        <f aca="false">IF(A374="","",PROPER(TRIM(D374)))</f>
        <v>Apparel</v>
      </c>
      <c r="M374" s="4" t="n">
        <f aca="false">IFERROR(VALUE(F374),0)</f>
        <v>3</v>
      </c>
      <c r="N374" s="7" t="n">
        <f aca="false">IFERROR(VALUE(SUBSTITUTE(G374,"$","")),0)</f>
        <v>82.95</v>
      </c>
      <c r="O374" s="4" t="n">
        <f aca="false">IF(A374="",0,IF(COUNTIF($A$2:A374,A374)&gt;1,1,0))</f>
        <v>0</v>
      </c>
      <c r="P374" s="4" t="n">
        <f aca="false">IF(AND(A374&lt;&gt;"",J374&lt;&gt;"",M374&gt;0,N374&gt;0,O374=0),1,0)</f>
        <v>1</v>
      </c>
      <c r="Q374" s="7" t="n">
        <f aca="false">IF(P374=1,M374*N374,0)</f>
        <v>248.85</v>
      </c>
    </row>
    <row r="375" customFormat="false" ht="15" hidden="false" customHeight="false" outlineLevel="0" collapsed="false">
      <c r="A375" s="4" t="n">
        <v>10053</v>
      </c>
      <c r="B375" s="4" t="s">
        <v>732</v>
      </c>
      <c r="C375" s="4" t="s">
        <v>80</v>
      </c>
      <c r="D375" s="4" t="s">
        <v>575</v>
      </c>
      <c r="E375" s="4" t="s">
        <v>160</v>
      </c>
      <c r="F375" s="4" t="n">
        <v>4</v>
      </c>
      <c r="G375" s="4" t="s">
        <v>1046</v>
      </c>
      <c r="H375" s="4" t="s">
        <v>73</v>
      </c>
      <c r="I375" s="4" t="s">
        <v>455</v>
      </c>
      <c r="J375" s="6" t="n">
        <f aca="false">IFERROR(DATEVALUE(B375),"")</f>
        <v>45520</v>
      </c>
      <c r="K375" s="4" t="str">
        <f aca="false">IF(A375="","",PROPER(TRIM(C375)))</f>
        <v>South</v>
      </c>
      <c r="L375" s="4" t="str">
        <f aca="false">IF(A375="","",PROPER(TRIM(D375)))</f>
        <v>Accessories</v>
      </c>
      <c r="M375" s="4" t="n">
        <f aca="false">IFERROR(VALUE(F375),0)</f>
        <v>4</v>
      </c>
      <c r="N375" s="7" t="n">
        <f aca="false">IFERROR(VALUE(SUBSTITUTE(G375,"$","")),0)</f>
        <v>26.3</v>
      </c>
      <c r="O375" s="4" t="n">
        <f aca="false">IF(A375="",0,IF(COUNTIF($A$2:A375,A375)&gt;1,1,0))</f>
        <v>0</v>
      </c>
      <c r="P375" s="4" t="n">
        <f aca="false">IF(AND(A375&lt;&gt;"",J375&lt;&gt;"",M375&gt;0,N375&gt;0,O375=0),1,0)</f>
        <v>1</v>
      </c>
      <c r="Q375" s="7" t="n">
        <f aca="false">IF(P375=1,M375*N375,0)</f>
        <v>105.2</v>
      </c>
    </row>
    <row r="376" customFormat="false" ht="15" hidden="false" customHeight="false" outlineLevel="0" collapsed="false">
      <c r="A376" s="4" t="n">
        <v>10049</v>
      </c>
      <c r="B376" s="4" t="s">
        <v>1047</v>
      </c>
      <c r="C376" s="4" t="s">
        <v>93</v>
      </c>
      <c r="D376" s="4" t="s">
        <v>179</v>
      </c>
      <c r="E376" s="4" t="s">
        <v>125</v>
      </c>
      <c r="F376" s="4" t="n">
        <v>1</v>
      </c>
      <c r="G376" s="4" t="s">
        <v>1048</v>
      </c>
      <c r="H376" s="4" t="s">
        <v>47</v>
      </c>
      <c r="I376" s="4" t="s">
        <v>323</v>
      </c>
      <c r="J376" s="6" t="n">
        <f aca="false">IFERROR(DATEVALUE(B376),"")</f>
        <v>45332</v>
      </c>
      <c r="K376" s="4" t="str">
        <f aca="false">IF(A376="","",PROPER(TRIM(C376)))</f>
        <v>West</v>
      </c>
      <c r="L376" s="4" t="str">
        <f aca="false">IF(A376="","",PROPER(TRIM(D376)))</f>
        <v>Climbing Gear</v>
      </c>
      <c r="M376" s="4" t="n">
        <f aca="false">IFERROR(VALUE(F376),0)</f>
        <v>1</v>
      </c>
      <c r="N376" s="7" t="n">
        <f aca="false">IFERROR(VALUE(SUBSTITUTE(G376,"$","")),0)</f>
        <v>98.59</v>
      </c>
      <c r="O376" s="4" t="n">
        <f aca="false">IF(A376="",0,IF(COUNTIF($A$2:A376,A376)&gt;1,1,0))</f>
        <v>0</v>
      </c>
      <c r="P376" s="4" t="n">
        <f aca="false">IF(AND(A376&lt;&gt;"",J376&lt;&gt;"",M376&gt;0,N376&gt;0,O376=0),1,0)</f>
        <v>1</v>
      </c>
      <c r="Q376" s="7" t="n">
        <f aca="false">IF(P376=1,M376*N376,0)</f>
        <v>98.59</v>
      </c>
    </row>
    <row r="377" customFormat="false" ht="15" hidden="false" customHeight="false" outlineLevel="0" collapsed="false">
      <c r="A377" s="4" t="n">
        <v>10012</v>
      </c>
      <c r="B377" s="4" t="s">
        <v>1049</v>
      </c>
      <c r="C377" s="4" t="s">
        <v>321</v>
      </c>
      <c r="D377" s="4" t="s">
        <v>58</v>
      </c>
      <c r="E377" s="4" t="s">
        <v>188</v>
      </c>
      <c r="F377" s="4" t="n">
        <v>1</v>
      </c>
      <c r="G377" s="4" t="s">
        <v>1050</v>
      </c>
      <c r="H377" s="4" t="s">
        <v>54</v>
      </c>
      <c r="I377" s="4" t="s">
        <v>597</v>
      </c>
      <c r="J377" s="6" t="n">
        <f aca="false">IFERROR(DATEVALUE(B377),"")</f>
        <v>45439</v>
      </c>
      <c r="K377" s="4" t="str">
        <f aca="false">IF(A377="","",PROPER(TRIM(C377)))</f>
        <v>West</v>
      </c>
      <c r="L377" s="4" t="str">
        <f aca="false">IF(A377="","",PROPER(TRIM(D377)))</f>
        <v>Climbing Gear</v>
      </c>
      <c r="M377" s="4" t="n">
        <f aca="false">IFERROR(VALUE(F377),0)</f>
        <v>1</v>
      </c>
      <c r="N377" s="7" t="n">
        <f aca="false">IFERROR(VALUE(SUBSTITUTE(G377,"$","")),0)</f>
        <v>19.55</v>
      </c>
      <c r="O377" s="4" t="n">
        <f aca="false">IF(A377="",0,IF(COUNTIF($A$2:A377,A377)&gt;1,1,0))</f>
        <v>0</v>
      </c>
      <c r="P377" s="4" t="n">
        <f aca="false">IF(AND(A377&lt;&gt;"",J377&lt;&gt;"",M377&gt;0,N377&gt;0,O377=0),1,0)</f>
        <v>1</v>
      </c>
      <c r="Q377" s="7" t="n">
        <f aca="false">IF(P377=1,M377*N377,0)</f>
        <v>19.55</v>
      </c>
    </row>
    <row r="378" customFormat="false" ht="15" hidden="false" customHeight="false" outlineLevel="0" collapsed="false">
      <c r="A378" s="4" t="n">
        <v>10440</v>
      </c>
      <c r="B378" s="4" t="s">
        <v>167</v>
      </c>
      <c r="C378" s="4" t="s">
        <v>224</v>
      </c>
      <c r="D378" s="4" t="s">
        <v>438</v>
      </c>
      <c r="E378" s="4" t="s">
        <v>77</v>
      </c>
      <c r="F378" s="4" t="n">
        <v>1</v>
      </c>
      <c r="G378" s="4" t="s">
        <v>1051</v>
      </c>
      <c r="H378" s="4" t="s">
        <v>47</v>
      </c>
      <c r="I378" s="4" t="s">
        <v>352</v>
      </c>
      <c r="J378" s="6" t="n">
        <f aca="false">IFERROR(DATEVALUE(B378),"")</f>
        <v>45476</v>
      </c>
      <c r="K378" s="4" t="str">
        <f aca="false">IF(A378="","",PROPER(TRIM(C378)))</f>
        <v>East</v>
      </c>
      <c r="L378" s="4" t="str">
        <f aca="false">IF(A378="","",PROPER(TRIM(D378)))</f>
        <v>Footwear</v>
      </c>
      <c r="M378" s="4" t="n">
        <f aca="false">IFERROR(VALUE(F378),0)</f>
        <v>1</v>
      </c>
      <c r="N378" s="7" t="n">
        <f aca="false">IFERROR(VALUE(SUBSTITUTE(G378,"$","")),0)</f>
        <v>128.33</v>
      </c>
      <c r="O378" s="4" t="n">
        <f aca="false">IF(A378="",0,IF(COUNTIF($A$2:A378,A378)&gt;1,1,0))</f>
        <v>0</v>
      </c>
      <c r="P378" s="4" t="n">
        <f aca="false">IF(AND(A378&lt;&gt;"",J378&lt;&gt;"",M378&gt;0,N378&gt;0,O378=0),1,0)</f>
        <v>1</v>
      </c>
      <c r="Q378" s="7" t="n">
        <f aca="false">IF(P378=1,M378*N378,0)</f>
        <v>128.33</v>
      </c>
    </row>
    <row r="379" customFormat="false" ht="15" hidden="false" customHeight="false" outlineLevel="0" collapsed="false">
      <c r="A379" s="4" t="n">
        <v>10413</v>
      </c>
      <c r="B379" s="4" t="s">
        <v>1052</v>
      </c>
      <c r="C379" s="4" t="s">
        <v>69</v>
      </c>
      <c r="D379" s="4" t="s">
        <v>64</v>
      </c>
      <c r="E379" s="4" t="s">
        <v>77</v>
      </c>
      <c r="F379" s="4" t="n">
        <v>1</v>
      </c>
      <c r="G379" s="4" t="s">
        <v>1053</v>
      </c>
      <c r="H379" s="4" t="s">
        <v>54</v>
      </c>
      <c r="I379" s="4" t="s">
        <v>616</v>
      </c>
      <c r="J379" s="6" t="n">
        <f aca="false">IFERROR(DATEVALUE(B379),"")</f>
        <v>45807</v>
      </c>
      <c r="K379" s="4" t="str">
        <f aca="false">IF(A379="","",PROPER(TRIM(C379)))</f>
        <v>East</v>
      </c>
      <c r="L379" s="4" t="str">
        <f aca="false">IF(A379="","",PROPER(TRIM(D379)))</f>
        <v>Footwear</v>
      </c>
      <c r="M379" s="4" t="n">
        <f aca="false">IFERROR(VALUE(F379),0)</f>
        <v>1</v>
      </c>
      <c r="N379" s="7" t="n">
        <f aca="false">IFERROR(VALUE(SUBSTITUTE(G379,"$","")),0)</f>
        <v>117.87</v>
      </c>
      <c r="O379" s="4" t="n">
        <f aca="false">IF(A379="",0,IF(COUNTIF($A$2:A379,A379)&gt;1,1,0))</f>
        <v>0</v>
      </c>
      <c r="P379" s="4" t="n">
        <f aca="false">IF(AND(A379&lt;&gt;"",J379&lt;&gt;"",M379&gt;0,N379&gt;0,O379=0),1,0)</f>
        <v>1</v>
      </c>
      <c r="Q379" s="7" t="n">
        <f aca="false">IF(P379=1,M379*N379,0)</f>
        <v>117.87</v>
      </c>
    </row>
    <row r="380" customFormat="false" ht="15" hidden="false" customHeight="false" outlineLevel="0" collapsed="false">
      <c r="A380" s="4" t="n">
        <v>10693</v>
      </c>
      <c r="B380" s="4" t="s">
        <v>1054</v>
      </c>
      <c r="C380" s="4" t="s">
        <v>50</v>
      </c>
      <c r="D380" s="4" t="s">
        <v>88</v>
      </c>
      <c r="E380" s="4" t="s">
        <v>142</v>
      </c>
      <c r="F380" s="4" t="n">
        <v>2</v>
      </c>
      <c r="G380" s="4" t="s">
        <v>1055</v>
      </c>
      <c r="H380" s="4" t="s">
        <v>54</v>
      </c>
      <c r="I380" s="4" t="s">
        <v>998</v>
      </c>
      <c r="J380" s="6" t="n">
        <f aca="false">IFERROR(DATEVALUE(B380),"")</f>
        <v>45762</v>
      </c>
      <c r="K380" s="4" t="str">
        <f aca="false">IF(A380="","",PROPER(TRIM(C380)))</f>
        <v>Midwest</v>
      </c>
      <c r="L380" s="4" t="str">
        <f aca="false">IF(A380="","",PROPER(TRIM(D380)))</f>
        <v>Apparel</v>
      </c>
      <c r="M380" s="4" t="n">
        <f aca="false">IFERROR(VALUE(F380),0)</f>
        <v>2</v>
      </c>
      <c r="N380" s="7" t="n">
        <f aca="false">IFERROR(VALUE(SUBSTITUTE(G380,"$","")),0)</f>
        <v>195.66</v>
      </c>
      <c r="O380" s="4" t="n">
        <f aca="false">IF(A380="",0,IF(COUNTIF($A$2:A380,A380)&gt;1,1,0))</f>
        <v>0</v>
      </c>
      <c r="P380" s="4" t="n">
        <f aca="false">IF(AND(A380&lt;&gt;"",J380&lt;&gt;"",M380&gt;0,N380&gt;0,O380=0),1,0)</f>
        <v>1</v>
      </c>
      <c r="Q380" s="7" t="n">
        <f aca="false">IF(P380=1,M380*N380,0)</f>
        <v>391.32</v>
      </c>
    </row>
    <row r="381" customFormat="false" ht="15" hidden="false" customHeight="false" outlineLevel="0" collapsed="false">
      <c r="A381" s="4" t="n">
        <v>10128</v>
      </c>
      <c r="B381" s="4" t="s">
        <v>1056</v>
      </c>
      <c r="C381" s="4" t="s">
        <v>155</v>
      </c>
      <c r="D381" s="4" t="s">
        <v>70</v>
      </c>
      <c r="E381" s="4" t="s">
        <v>251</v>
      </c>
      <c r="F381" s="4" t="n">
        <v>1</v>
      </c>
      <c r="G381" s="4" t="s">
        <v>1057</v>
      </c>
      <c r="H381" s="4" t="s">
        <v>47</v>
      </c>
      <c r="I381" s="4" t="s">
        <v>634</v>
      </c>
      <c r="J381" s="6" t="n">
        <f aca="false">IFERROR(DATEVALUE(B381),"")</f>
        <v>45784</v>
      </c>
      <c r="K381" s="4" t="str">
        <f aca="false">IF(A381="","",PROPER(TRIM(C381)))</f>
        <v>South</v>
      </c>
      <c r="L381" s="4" t="str">
        <f aca="false">IF(A381="","",PROPER(TRIM(D381)))</f>
        <v>Camping Gear</v>
      </c>
      <c r="M381" s="4" t="n">
        <f aca="false">IFERROR(VALUE(F381),0)</f>
        <v>1</v>
      </c>
      <c r="N381" s="7" t="n">
        <f aca="false">IFERROR(VALUE(SUBSTITUTE(G381,"$","")),0)</f>
        <v>74.47</v>
      </c>
      <c r="O381" s="4" t="n">
        <f aca="false">IF(A381="",0,IF(COUNTIF($A$2:A381,A381)&gt;1,1,0))</f>
        <v>0</v>
      </c>
      <c r="P381" s="4" t="n">
        <f aca="false">IF(AND(A381&lt;&gt;"",J381&lt;&gt;"",M381&gt;0,N381&gt;0,O381=0),1,0)</f>
        <v>1</v>
      </c>
      <c r="Q381" s="7" t="n">
        <f aca="false">IF(P381=1,M381*N381,0)</f>
        <v>74.47</v>
      </c>
    </row>
    <row r="382" customFormat="false" ht="15" hidden="false" customHeight="false" outlineLevel="0" collapsed="false">
      <c r="A382" s="4" t="n">
        <v>10503</v>
      </c>
      <c r="B382" s="4" t="s">
        <v>1058</v>
      </c>
      <c r="C382" s="4" t="s">
        <v>93</v>
      </c>
      <c r="D382" s="4" t="s">
        <v>70</v>
      </c>
      <c r="E382" s="4" t="s">
        <v>251</v>
      </c>
      <c r="F382" s="4" t="n">
        <v>2</v>
      </c>
      <c r="G382" s="4" t="s">
        <v>1059</v>
      </c>
      <c r="H382" s="4" t="s">
        <v>47</v>
      </c>
      <c r="I382" s="4" t="s">
        <v>86</v>
      </c>
      <c r="J382" s="6" t="n">
        <f aca="false">IFERROR(DATEVALUE(B382),"")</f>
        <v>45495</v>
      </c>
      <c r="K382" s="4" t="str">
        <f aca="false">IF(A382="","",PROPER(TRIM(C382)))</f>
        <v>West</v>
      </c>
      <c r="L382" s="4" t="str">
        <f aca="false">IF(A382="","",PROPER(TRIM(D382)))</f>
        <v>Camping Gear</v>
      </c>
      <c r="M382" s="4" t="n">
        <f aca="false">IFERROR(VALUE(F382),0)</f>
        <v>2</v>
      </c>
      <c r="N382" s="7" t="n">
        <f aca="false">IFERROR(VALUE(SUBSTITUTE(G382,"$","")),0)</f>
        <v>84.38</v>
      </c>
      <c r="O382" s="4" t="n">
        <f aca="false">IF(A382="",0,IF(COUNTIF($A$2:A382,A382)&gt;1,1,0))</f>
        <v>0</v>
      </c>
      <c r="P382" s="4" t="n">
        <f aca="false">IF(AND(A382&lt;&gt;"",J382&lt;&gt;"",M382&gt;0,N382&gt;0,O382=0),1,0)</f>
        <v>1</v>
      </c>
      <c r="Q382" s="7" t="n">
        <f aca="false">IF(P382=1,M382*N382,0)</f>
        <v>168.76</v>
      </c>
    </row>
    <row r="383" customFormat="false" ht="15" hidden="false" customHeight="false" outlineLevel="0" collapsed="false">
      <c r="A383" s="4" t="n">
        <v>10140</v>
      </c>
      <c r="B383" s="4" t="s">
        <v>1060</v>
      </c>
      <c r="C383" s="4" t="s">
        <v>155</v>
      </c>
      <c r="D383" s="4" t="s">
        <v>230</v>
      </c>
      <c r="E383" s="4" t="s">
        <v>89</v>
      </c>
      <c r="F383" s="4" t="n">
        <v>1</v>
      </c>
      <c r="G383" s="4" t="s">
        <v>1061</v>
      </c>
      <c r="H383" s="4" t="s">
        <v>54</v>
      </c>
      <c r="I383" s="4" t="s">
        <v>811</v>
      </c>
      <c r="J383" s="6" t="n">
        <f aca="false">IFERROR(DATEVALUE(B383),"")</f>
        <v>45442</v>
      </c>
      <c r="K383" s="4" t="str">
        <f aca="false">IF(A383="","",PROPER(TRIM(C383)))</f>
        <v>South</v>
      </c>
      <c r="L383" s="4" t="str">
        <f aca="false">IF(A383="","",PROPER(TRIM(D383)))</f>
        <v>Apparel</v>
      </c>
      <c r="M383" s="4" t="n">
        <f aca="false">IFERROR(VALUE(F383),0)</f>
        <v>1</v>
      </c>
      <c r="N383" s="7" t="n">
        <f aca="false">IFERROR(VALUE(SUBSTITUTE(G383,"$","")),0)</f>
        <v>66.91</v>
      </c>
      <c r="O383" s="4" t="n">
        <f aca="false">IF(A383="",0,IF(COUNTIF($A$2:A383,A383)&gt;1,1,0))</f>
        <v>0</v>
      </c>
      <c r="P383" s="4" t="n">
        <f aca="false">IF(AND(A383&lt;&gt;"",J383&lt;&gt;"",M383&gt;0,N383&gt;0,O383=0),1,0)</f>
        <v>1</v>
      </c>
      <c r="Q383" s="7" t="n">
        <f aca="false">IF(P383=1,M383*N383,0)</f>
        <v>66.91</v>
      </c>
    </row>
    <row r="384" customFormat="false" ht="15" hidden="false" customHeight="false" outlineLevel="0" collapsed="false">
      <c r="A384" s="4" t="n">
        <v>10012</v>
      </c>
      <c r="B384" s="4" t="s">
        <v>1049</v>
      </c>
      <c r="C384" s="4" t="s">
        <v>321</v>
      </c>
      <c r="D384" s="4" t="s">
        <v>58</v>
      </c>
      <c r="E384" s="4" t="s">
        <v>188</v>
      </c>
      <c r="F384" s="4" t="n">
        <v>1</v>
      </c>
      <c r="G384" s="4" t="s">
        <v>1050</v>
      </c>
      <c r="H384" s="4" t="s">
        <v>54</v>
      </c>
      <c r="I384" s="4" t="s">
        <v>597</v>
      </c>
      <c r="J384" s="6" t="n">
        <f aca="false">IFERROR(DATEVALUE(B384),"")</f>
        <v>45439</v>
      </c>
      <c r="K384" s="4" t="str">
        <f aca="false">IF(A384="","",PROPER(TRIM(C384)))</f>
        <v>West</v>
      </c>
      <c r="L384" s="4" t="str">
        <f aca="false">IF(A384="","",PROPER(TRIM(D384)))</f>
        <v>Climbing Gear</v>
      </c>
      <c r="M384" s="4" t="n">
        <f aca="false">IFERROR(VALUE(F384),0)</f>
        <v>1</v>
      </c>
      <c r="N384" s="7" t="n">
        <f aca="false">IFERROR(VALUE(SUBSTITUTE(G384,"$","")),0)</f>
        <v>19.55</v>
      </c>
      <c r="O384" s="4" t="n">
        <f aca="false">IF(A384="",0,IF(COUNTIF($A$2:A384,A384)&gt;1,1,0))</f>
        <v>1</v>
      </c>
      <c r="P384" s="4" t="n">
        <f aca="false">IF(AND(A384&lt;&gt;"",J384&lt;&gt;"",M384&gt;0,N384&gt;0,O384=0),1,0)</f>
        <v>0</v>
      </c>
      <c r="Q384" s="7" t="n">
        <f aca="false">IF(P384=1,M384*N384,0)</f>
        <v>0</v>
      </c>
    </row>
    <row r="385" customFormat="false" ht="15" hidden="false" customHeight="false" outlineLevel="0" collapsed="false">
      <c r="A385" s="4" t="n">
        <v>10127</v>
      </c>
      <c r="B385" s="4" t="s">
        <v>1062</v>
      </c>
      <c r="C385" s="4" t="s">
        <v>332</v>
      </c>
      <c r="D385" s="4" t="s">
        <v>76</v>
      </c>
      <c r="E385" s="4" t="s">
        <v>65</v>
      </c>
      <c r="F385" s="4" t="n">
        <v>1</v>
      </c>
      <c r="G385" s="4" t="s">
        <v>1063</v>
      </c>
      <c r="H385" s="4" t="s">
        <v>47</v>
      </c>
      <c r="I385" s="4" t="s">
        <v>1064</v>
      </c>
      <c r="J385" s="6" t="n">
        <f aca="false">IFERROR(DATEVALUE(B385),"")</f>
        <v>45787</v>
      </c>
      <c r="K385" s="4" t="str">
        <f aca="false">IF(A385="","",PROPER(TRIM(C385)))</f>
        <v>West</v>
      </c>
      <c r="L385" s="4" t="str">
        <f aca="false">IF(A385="","",PROPER(TRIM(D385)))</f>
        <v>Footwear</v>
      </c>
      <c r="M385" s="4" t="n">
        <f aca="false">IFERROR(VALUE(F385),0)</f>
        <v>1</v>
      </c>
      <c r="N385" s="7" t="n">
        <f aca="false">IFERROR(VALUE(SUBSTITUTE(G385,"$","")),0)</f>
        <v>60.3</v>
      </c>
      <c r="O385" s="4" t="n">
        <f aca="false">IF(A385="",0,IF(COUNTIF($A$2:A385,A385)&gt;1,1,0))</f>
        <v>0</v>
      </c>
      <c r="P385" s="4" t="n">
        <f aca="false">IF(AND(A385&lt;&gt;"",J385&lt;&gt;"",M385&gt;0,N385&gt;0,O385=0),1,0)</f>
        <v>1</v>
      </c>
      <c r="Q385" s="7" t="n">
        <f aca="false">IF(P385=1,M385*N385,0)</f>
        <v>60.3</v>
      </c>
    </row>
    <row r="386" customFormat="false" ht="15" hidden="false" customHeight="false" outlineLevel="0" collapsed="false">
      <c r="A386" s="4" t="n">
        <v>10754</v>
      </c>
      <c r="B386" s="4" t="s">
        <v>954</v>
      </c>
      <c r="C386" s="4" t="s">
        <v>133</v>
      </c>
      <c r="D386" s="4" t="s">
        <v>44</v>
      </c>
      <c r="E386" s="4" t="s">
        <v>45</v>
      </c>
      <c r="F386" s="4" t="n">
        <v>2</v>
      </c>
      <c r="G386" s="4" t="s">
        <v>1065</v>
      </c>
      <c r="H386" s="4" t="s">
        <v>47</v>
      </c>
      <c r="I386" s="4" t="s">
        <v>1066</v>
      </c>
      <c r="J386" s="6" t="n">
        <f aca="false">IFERROR(DATEVALUE(B386),"")</f>
        <v>45823</v>
      </c>
      <c r="K386" s="4" t="str">
        <f aca="false">IF(A386="","",PROPER(TRIM(C386)))</f>
        <v>East</v>
      </c>
      <c r="L386" s="4" t="str">
        <f aca="false">IF(A386="","",PROPER(TRIM(D386)))</f>
        <v>Accessories</v>
      </c>
      <c r="M386" s="4" t="n">
        <f aca="false">IFERROR(VALUE(F386),0)</f>
        <v>2</v>
      </c>
      <c r="N386" s="7" t="n">
        <f aca="false">IFERROR(VALUE(SUBSTITUTE(G386,"$","")),0)</f>
        <v>56.64</v>
      </c>
      <c r="O386" s="4" t="n">
        <f aca="false">IF(A386="",0,IF(COUNTIF($A$2:A386,A386)&gt;1,1,0))</f>
        <v>0</v>
      </c>
      <c r="P386" s="4" t="n">
        <f aca="false">IF(AND(A386&lt;&gt;"",J386&lt;&gt;"",M386&gt;0,N386&gt;0,O386=0),1,0)</f>
        <v>1</v>
      </c>
      <c r="Q386" s="7" t="n">
        <f aca="false">IF(P386=1,M386*N386,0)</f>
        <v>113.28</v>
      </c>
    </row>
    <row r="387" customFormat="false" ht="15" hidden="false" customHeight="false" outlineLevel="0" collapsed="false">
      <c r="A387" s="4" t="n">
        <v>10357</v>
      </c>
      <c r="B387" s="4" t="s">
        <v>886</v>
      </c>
      <c r="C387" s="4" t="s">
        <v>178</v>
      </c>
      <c r="D387" s="4" t="s">
        <v>44</v>
      </c>
      <c r="E387" s="4" t="s">
        <v>160</v>
      </c>
      <c r="F387" s="4" t="n">
        <v>2</v>
      </c>
      <c r="G387" s="4" t="s">
        <v>1067</v>
      </c>
      <c r="H387" s="4" t="s">
        <v>73</v>
      </c>
      <c r="I387" s="4" t="s">
        <v>446</v>
      </c>
      <c r="J387" s="6" t="n">
        <f aca="false">IFERROR(DATEVALUE(B387),"")</f>
        <v>45718</v>
      </c>
      <c r="K387" s="4" t="str">
        <f aca="false">IF(A387="","",PROPER(TRIM(C387)))</f>
        <v>South</v>
      </c>
      <c r="L387" s="4" t="str">
        <f aca="false">IF(A387="","",PROPER(TRIM(D387)))</f>
        <v>Accessories</v>
      </c>
      <c r="M387" s="4" t="n">
        <f aca="false">IFERROR(VALUE(F387),0)</f>
        <v>2</v>
      </c>
      <c r="N387" s="7" t="n">
        <f aca="false">IFERROR(VALUE(SUBSTITUTE(G387,"$","")),0)</f>
        <v>23.82</v>
      </c>
      <c r="O387" s="4" t="n">
        <f aca="false">IF(A387="",0,IF(COUNTIF($A$2:A387,A387)&gt;1,1,0))</f>
        <v>0</v>
      </c>
      <c r="P387" s="4" t="n">
        <f aca="false">IF(AND(A387&lt;&gt;"",J387&lt;&gt;"",M387&gt;0,N387&gt;0,O387=0),1,0)</f>
        <v>1</v>
      </c>
      <c r="Q387" s="7" t="n">
        <f aca="false">IF(P387=1,M387*N387,0)</f>
        <v>47.64</v>
      </c>
    </row>
    <row r="388" customFormat="false" ht="15" hidden="false" customHeight="false" outlineLevel="0" collapsed="false">
      <c r="A388" s="4" t="n">
        <v>10486</v>
      </c>
      <c r="B388" s="4" t="s">
        <v>884</v>
      </c>
      <c r="C388" s="4" t="s">
        <v>120</v>
      </c>
      <c r="D388" s="4" t="s">
        <v>81</v>
      </c>
      <c r="E388" s="4" t="s">
        <v>111</v>
      </c>
      <c r="F388" s="4" t="n">
        <v>2</v>
      </c>
      <c r="G388" s="4" t="s">
        <v>1068</v>
      </c>
      <c r="H388" s="4" t="s">
        <v>54</v>
      </c>
      <c r="I388" s="4" t="s">
        <v>1069</v>
      </c>
      <c r="J388" s="6" t="n">
        <f aca="false">IFERROR(DATEVALUE(B388),"")</f>
        <v>45710</v>
      </c>
      <c r="K388" s="4" t="str">
        <f aca="false">IF(A388="","",PROPER(TRIM(C388)))</f>
        <v>East</v>
      </c>
      <c r="L388" s="4" t="str">
        <f aca="false">IF(A388="","",PROPER(TRIM(D388)))</f>
        <v>Footwear</v>
      </c>
      <c r="M388" s="4" t="n">
        <f aca="false">IFERROR(VALUE(F388),0)</f>
        <v>2</v>
      </c>
      <c r="N388" s="7" t="n">
        <f aca="false">IFERROR(VALUE(SUBSTITUTE(G388,"$","")),0)</f>
        <v>98.85</v>
      </c>
      <c r="O388" s="4" t="n">
        <f aca="false">IF(A388="",0,IF(COUNTIF($A$2:A388,A388)&gt;1,1,0))</f>
        <v>0</v>
      </c>
      <c r="P388" s="4" t="n">
        <f aca="false">IF(AND(A388&lt;&gt;"",J388&lt;&gt;"",M388&gt;0,N388&gt;0,O388=0),1,0)</f>
        <v>1</v>
      </c>
      <c r="Q388" s="7" t="n">
        <f aca="false">IF(P388=1,M388*N388,0)</f>
        <v>197.7</v>
      </c>
    </row>
    <row r="389" customFormat="false" ht="15" hidden="false" customHeight="false" outlineLevel="0" collapsed="false">
      <c r="A389" s="4" t="n">
        <v>10717</v>
      </c>
      <c r="B389" s="4" t="s">
        <v>1070</v>
      </c>
      <c r="C389" s="4" t="s">
        <v>63</v>
      </c>
      <c r="D389" s="4" t="s">
        <v>281</v>
      </c>
      <c r="E389" s="4" t="s">
        <v>251</v>
      </c>
      <c r="F389" s="4" t="n">
        <v>2</v>
      </c>
      <c r="G389" s="4" t="s">
        <v>1071</v>
      </c>
      <c r="H389" s="4" t="s">
        <v>54</v>
      </c>
      <c r="I389" s="4" t="s">
        <v>1072</v>
      </c>
      <c r="J389" s="6" t="n">
        <f aca="false">IFERROR(DATEVALUE(B389),"")</f>
        <v>45594</v>
      </c>
      <c r="K389" s="4" t="str">
        <f aca="false">IF(A389="","",PROPER(TRIM(C389)))</f>
        <v>Midwest</v>
      </c>
      <c r="L389" s="4" t="str">
        <f aca="false">IF(A389="","",PROPER(TRIM(D389)))</f>
        <v>Camping Gear</v>
      </c>
      <c r="M389" s="4" t="n">
        <f aca="false">IFERROR(VALUE(F389),0)</f>
        <v>2</v>
      </c>
      <c r="N389" s="7" t="n">
        <f aca="false">IFERROR(VALUE(SUBSTITUTE(G389,"$","")),0)</f>
        <v>73.76</v>
      </c>
      <c r="O389" s="4" t="n">
        <f aca="false">IF(A389="",0,IF(COUNTIF($A$2:A389,A389)&gt;1,1,0))</f>
        <v>0</v>
      </c>
      <c r="P389" s="4" t="n">
        <f aca="false">IF(AND(A389&lt;&gt;"",J389&lt;&gt;"",M389&gt;0,N389&gt;0,O389=0),1,0)</f>
        <v>1</v>
      </c>
      <c r="Q389" s="7" t="n">
        <f aca="false">IF(P389=1,M389*N389,0)</f>
        <v>147.52</v>
      </c>
    </row>
    <row r="390" customFormat="false" ht="15" hidden="false" customHeight="false" outlineLevel="0" collapsed="false">
      <c r="A390" s="4" t="n">
        <v>10205</v>
      </c>
      <c r="B390" s="4" t="s">
        <v>947</v>
      </c>
      <c r="C390" s="4" t="s">
        <v>50</v>
      </c>
      <c r="D390" s="4" t="s">
        <v>64</v>
      </c>
      <c r="E390" s="4" t="s">
        <v>111</v>
      </c>
      <c r="F390" s="4" t="n">
        <v>1</v>
      </c>
      <c r="G390" s="4" t="s">
        <v>948</v>
      </c>
      <c r="H390" s="4" t="s">
        <v>54</v>
      </c>
      <c r="I390" s="4" t="s">
        <v>809</v>
      </c>
      <c r="J390" s="6" t="n">
        <f aca="false">IFERROR(DATEVALUE(B390),"")</f>
        <v>45478</v>
      </c>
      <c r="K390" s="4" t="str">
        <f aca="false">IF(A390="","",PROPER(TRIM(C390)))</f>
        <v>Midwest</v>
      </c>
      <c r="L390" s="4" t="str">
        <f aca="false">IF(A390="","",PROPER(TRIM(D390)))</f>
        <v>Footwear</v>
      </c>
      <c r="M390" s="4" t="n">
        <f aca="false">IFERROR(VALUE(F390),0)</f>
        <v>1</v>
      </c>
      <c r="N390" s="7" t="n">
        <f aca="false">IFERROR(VALUE(SUBSTITUTE(G390,"$","")),0)</f>
        <v>93.48</v>
      </c>
      <c r="O390" s="4" t="n">
        <f aca="false">IF(A390="",0,IF(COUNTIF($A$2:A390,A390)&gt;1,1,0))</f>
        <v>1</v>
      </c>
      <c r="P390" s="4" t="n">
        <f aca="false">IF(AND(A390&lt;&gt;"",J390&lt;&gt;"",M390&gt;0,N390&gt;0,O390=0),1,0)</f>
        <v>0</v>
      </c>
      <c r="Q390" s="7" t="n">
        <f aca="false">IF(P390=1,M390*N390,0)</f>
        <v>0</v>
      </c>
    </row>
    <row r="391" customFormat="false" ht="15" hidden="false" customHeight="false" outlineLevel="0" collapsed="false">
      <c r="A391" s="4" t="n">
        <v>10084</v>
      </c>
      <c r="B391" s="4" t="s">
        <v>669</v>
      </c>
      <c r="C391" s="4" t="s">
        <v>229</v>
      </c>
      <c r="D391" s="4" t="s">
        <v>81</v>
      </c>
      <c r="E391" s="4" t="s">
        <v>65</v>
      </c>
      <c r="F391" s="4" t="n">
        <v>2</v>
      </c>
      <c r="G391" s="4" t="s">
        <v>1073</v>
      </c>
      <c r="H391" s="4" t="s">
        <v>73</v>
      </c>
      <c r="I391" s="4" t="s">
        <v>1074</v>
      </c>
      <c r="J391" s="6" t="n">
        <f aca="false">IFERROR(DATEVALUE(B391),"")</f>
        <v>45738</v>
      </c>
      <c r="K391" s="4" t="str">
        <f aca="false">IF(A391="","",PROPER(TRIM(C391)))</f>
        <v>Midwest</v>
      </c>
      <c r="L391" s="4" t="str">
        <f aca="false">IF(A391="","",PROPER(TRIM(D391)))</f>
        <v>Footwear</v>
      </c>
      <c r="M391" s="4" t="n">
        <f aca="false">IFERROR(VALUE(F391),0)</f>
        <v>2</v>
      </c>
      <c r="N391" s="7" t="n">
        <f aca="false">IFERROR(VALUE(SUBSTITUTE(G391,"$","")),0)</f>
        <v>58.23</v>
      </c>
      <c r="O391" s="4" t="n">
        <f aca="false">IF(A391="",0,IF(COUNTIF($A$2:A391,A391)&gt;1,1,0))</f>
        <v>0</v>
      </c>
      <c r="P391" s="4" t="n">
        <f aca="false">IF(AND(A391&lt;&gt;"",J391&lt;&gt;"",M391&gt;0,N391&gt;0,O391=0),1,0)</f>
        <v>1</v>
      </c>
      <c r="Q391" s="7" t="n">
        <f aca="false">IF(P391=1,M391*N391,0)</f>
        <v>116.46</v>
      </c>
    </row>
    <row r="392" customFormat="false" ht="15" hidden="false" customHeight="false" outlineLevel="0" collapsed="false">
      <c r="A392" s="4" t="n">
        <v>10130</v>
      </c>
      <c r="B392" s="4" t="s">
        <v>1075</v>
      </c>
      <c r="C392" s="4" t="s">
        <v>133</v>
      </c>
      <c r="D392" s="4" t="s">
        <v>88</v>
      </c>
      <c r="E392" s="4" t="s">
        <v>243</v>
      </c>
      <c r="F392" s="4" t="n">
        <v>2</v>
      </c>
      <c r="G392" s="4" t="s">
        <v>1076</v>
      </c>
      <c r="H392" s="4" t="s">
        <v>54</v>
      </c>
      <c r="I392" s="4" t="s">
        <v>1077</v>
      </c>
      <c r="J392" s="6" t="n">
        <f aca="false">IFERROR(DATEVALUE(B392),"")</f>
        <v>45350</v>
      </c>
      <c r="K392" s="4" t="str">
        <f aca="false">IF(A392="","",PROPER(TRIM(C392)))</f>
        <v>East</v>
      </c>
      <c r="L392" s="4" t="str">
        <f aca="false">IF(A392="","",PROPER(TRIM(D392)))</f>
        <v>Apparel</v>
      </c>
      <c r="M392" s="4" t="n">
        <f aca="false">IFERROR(VALUE(F392),0)</f>
        <v>2</v>
      </c>
      <c r="N392" s="7" t="n">
        <f aca="false">IFERROR(VALUE(SUBSTITUTE(G392,"$","")),0)</f>
        <v>71.65</v>
      </c>
      <c r="O392" s="4" t="n">
        <f aca="false">IF(A392="",0,IF(COUNTIF($A$2:A392,A392)&gt;1,1,0))</f>
        <v>0</v>
      </c>
      <c r="P392" s="4" t="n">
        <f aca="false">IF(AND(A392&lt;&gt;"",J392&lt;&gt;"",M392&gt;0,N392&gt;0,O392=0),1,0)</f>
        <v>1</v>
      </c>
      <c r="Q392" s="7" t="n">
        <f aca="false">IF(P392=1,M392*N392,0)</f>
        <v>143.3</v>
      </c>
    </row>
    <row r="393" customFormat="false" ht="15" hidden="false" customHeight="false" outlineLevel="0" collapsed="false">
      <c r="A393" s="4" t="n">
        <v>10135</v>
      </c>
      <c r="B393" s="4" t="s">
        <v>1078</v>
      </c>
      <c r="C393" s="4" t="s">
        <v>155</v>
      </c>
      <c r="D393" s="4" t="s">
        <v>438</v>
      </c>
      <c r="E393" s="4" t="s">
        <v>77</v>
      </c>
      <c r="F393" s="4" t="n">
        <v>4</v>
      </c>
      <c r="G393" s="4" t="s">
        <v>1079</v>
      </c>
      <c r="H393" s="4" t="s">
        <v>54</v>
      </c>
      <c r="I393" s="4" t="s">
        <v>1080</v>
      </c>
      <c r="J393" s="6" t="n">
        <f aca="false">IFERROR(DATEVALUE(B393),"")</f>
        <v>45824</v>
      </c>
      <c r="K393" s="4" t="str">
        <f aca="false">IF(A393="","",PROPER(TRIM(C393)))</f>
        <v>South</v>
      </c>
      <c r="L393" s="4" t="str">
        <f aca="false">IF(A393="","",PROPER(TRIM(D393)))</f>
        <v>Footwear</v>
      </c>
      <c r="M393" s="4" t="n">
        <f aca="false">IFERROR(VALUE(F393),0)</f>
        <v>4</v>
      </c>
      <c r="N393" s="7" t="n">
        <f aca="false">IFERROR(VALUE(SUBSTITUTE(G393,"$","")),0)</f>
        <v>139.49</v>
      </c>
      <c r="O393" s="4" t="n">
        <f aca="false">IF(A393="",0,IF(COUNTIF($A$2:A393,A393)&gt;1,1,0))</f>
        <v>0</v>
      </c>
      <c r="P393" s="4" t="n">
        <f aca="false">IF(AND(A393&lt;&gt;"",J393&lt;&gt;"",M393&gt;0,N393&gt;0,O393=0),1,0)</f>
        <v>1</v>
      </c>
      <c r="Q393" s="7" t="n">
        <f aca="false">IF(P393=1,M393*N393,0)</f>
        <v>557.96</v>
      </c>
    </row>
    <row r="394" customFormat="false" ht="15" hidden="false" customHeight="false" outlineLevel="0" collapsed="false">
      <c r="A394" s="4" t="n">
        <v>10010</v>
      </c>
      <c r="B394" s="4" t="s">
        <v>1081</v>
      </c>
      <c r="C394" s="4" t="s">
        <v>321</v>
      </c>
      <c r="D394" s="4" t="s">
        <v>225</v>
      </c>
      <c r="E394" s="4" t="s">
        <v>160</v>
      </c>
      <c r="F394" s="4" t="n">
        <v>-1</v>
      </c>
      <c r="G394" s="4" t="s">
        <v>1082</v>
      </c>
      <c r="H394" s="4" t="s">
        <v>73</v>
      </c>
      <c r="I394" s="4" t="s">
        <v>583</v>
      </c>
      <c r="J394" s="6" t="n">
        <f aca="false">IFERROR(DATEVALUE(B394),"")</f>
        <v>45695</v>
      </c>
      <c r="K394" s="4" t="str">
        <f aca="false">IF(A394="","",PROPER(TRIM(C394)))</f>
        <v>West</v>
      </c>
      <c r="L394" s="4" t="str">
        <f aca="false">IF(A394="","",PROPER(TRIM(D394)))</f>
        <v>Accessories</v>
      </c>
      <c r="M394" s="4" t="n">
        <f aca="false">IFERROR(VALUE(F394),0)</f>
        <v>-1</v>
      </c>
      <c r="N394" s="7" t="n">
        <f aca="false">IFERROR(VALUE(SUBSTITUTE(G394,"$","")),0)</f>
        <v>24.98</v>
      </c>
      <c r="O394" s="4" t="n">
        <f aca="false">IF(A394="",0,IF(COUNTIF($A$2:A394,A394)&gt;1,1,0))</f>
        <v>0</v>
      </c>
      <c r="P394" s="4" t="n">
        <f aca="false">IF(AND(A394&lt;&gt;"",J394&lt;&gt;"",M394&gt;0,N394&gt;0,O394=0),1,0)</f>
        <v>0</v>
      </c>
      <c r="Q394" s="7" t="n">
        <f aca="false">IF(P394=1,M394*N394,0)</f>
        <v>0</v>
      </c>
    </row>
    <row r="395" customFormat="false" ht="15" hidden="false" customHeight="false" outlineLevel="0" collapsed="false">
      <c r="A395" s="4" t="n">
        <v>10079</v>
      </c>
      <c r="B395" s="4" t="s">
        <v>1083</v>
      </c>
      <c r="C395" s="4" t="s">
        <v>110</v>
      </c>
      <c r="D395" s="4" t="s">
        <v>438</v>
      </c>
      <c r="E395" s="4" t="s">
        <v>65</v>
      </c>
      <c r="F395" s="4" t="n">
        <v>1</v>
      </c>
      <c r="G395" s="4" t="s">
        <v>1084</v>
      </c>
      <c r="H395" s="4" t="s">
        <v>54</v>
      </c>
      <c r="I395" s="4" t="s">
        <v>913</v>
      </c>
      <c r="J395" s="6" t="n">
        <f aca="false">IFERROR(DATEVALUE(B395),"")</f>
        <v>45827</v>
      </c>
      <c r="K395" s="4" t="str">
        <f aca="false">IF(A395="","",PROPER(TRIM(C395)))</f>
        <v>Midwest</v>
      </c>
      <c r="L395" s="4" t="str">
        <f aca="false">IF(A395="","",PROPER(TRIM(D395)))</f>
        <v>Footwear</v>
      </c>
      <c r="M395" s="4" t="n">
        <f aca="false">IFERROR(VALUE(F395),0)</f>
        <v>1</v>
      </c>
      <c r="N395" s="7" t="n">
        <f aca="false">IFERROR(VALUE(SUBSTITUTE(G395,"$","")),0)</f>
        <v>53.67</v>
      </c>
      <c r="O395" s="4" t="n">
        <f aca="false">IF(A395="",0,IF(COUNTIF($A$2:A395,A395)&gt;1,1,0))</f>
        <v>0</v>
      </c>
      <c r="P395" s="4" t="n">
        <f aca="false">IF(AND(A395&lt;&gt;"",J395&lt;&gt;"",M395&gt;0,N395&gt;0,O395=0),1,0)</f>
        <v>1</v>
      </c>
      <c r="Q395" s="7" t="n">
        <f aca="false">IF(P395=1,M395*N395,0)</f>
        <v>53.67</v>
      </c>
    </row>
    <row r="396" customFormat="false" ht="15" hidden="false" customHeight="false" outlineLevel="0" collapsed="false">
      <c r="A396" s="4" t="n">
        <v>10604</v>
      </c>
      <c r="B396" s="4" t="s">
        <v>1085</v>
      </c>
      <c r="C396" s="4" t="s">
        <v>155</v>
      </c>
      <c r="D396" s="4" t="s">
        <v>171</v>
      </c>
      <c r="E396" s="4" t="s">
        <v>448</v>
      </c>
      <c r="F396" s="4" t="n">
        <v>4</v>
      </c>
      <c r="G396" s="4" t="s">
        <v>1086</v>
      </c>
      <c r="H396" s="4" t="s">
        <v>54</v>
      </c>
      <c r="I396" s="4" t="s">
        <v>496</v>
      </c>
      <c r="J396" s="6" t="n">
        <f aca="false">IFERROR(DATEVALUE(B396),"")</f>
        <v>45591</v>
      </c>
      <c r="K396" s="4" t="str">
        <f aca="false">IF(A396="","",PROPER(TRIM(C396)))</f>
        <v>South</v>
      </c>
      <c r="L396" s="4" t="str">
        <f aca="false">IF(A396="","",PROPER(TRIM(D396)))</f>
        <v>Camping Gear</v>
      </c>
      <c r="M396" s="4" t="n">
        <f aca="false">IFERROR(VALUE(F396),0)</f>
        <v>4</v>
      </c>
      <c r="N396" s="7" t="n">
        <f aca="false">IFERROR(VALUE(SUBSTITUTE(G396,"$","")),0)</f>
        <v>207.58</v>
      </c>
      <c r="O396" s="4" t="n">
        <f aca="false">IF(A396="",0,IF(COUNTIF($A$2:A396,A396)&gt;1,1,0))</f>
        <v>0</v>
      </c>
      <c r="P396" s="4" t="n">
        <f aca="false">IF(AND(A396&lt;&gt;"",J396&lt;&gt;"",M396&gt;0,N396&gt;0,O396=0),1,0)</f>
        <v>1</v>
      </c>
      <c r="Q396" s="7" t="n">
        <f aca="false">IF(P396=1,M396*N396,0)</f>
        <v>830.32</v>
      </c>
    </row>
    <row r="397" customFormat="false" ht="15" hidden="false" customHeight="false" outlineLevel="0" collapsed="false">
      <c r="A397" s="4" t="n">
        <v>10474</v>
      </c>
      <c r="B397" s="4" t="s">
        <v>1087</v>
      </c>
      <c r="C397" s="4" t="s">
        <v>541</v>
      </c>
      <c r="D397" s="4" t="s">
        <v>58</v>
      </c>
      <c r="E397" s="4" t="s">
        <v>125</v>
      </c>
      <c r="F397" s="4" t="n">
        <v>2</v>
      </c>
      <c r="G397" s="4" t="s">
        <v>1088</v>
      </c>
      <c r="H397" s="4" t="s">
        <v>73</v>
      </c>
      <c r="I397" s="4" t="s">
        <v>1089</v>
      </c>
      <c r="J397" s="6" t="n">
        <f aca="false">IFERROR(DATEVALUE(B397),"")</f>
        <v>45666</v>
      </c>
      <c r="K397" s="4" t="str">
        <f aca="false">IF(A397="","",PROPER(TRIM(C397)))</f>
        <v>West</v>
      </c>
      <c r="L397" s="4" t="str">
        <f aca="false">IF(A397="","",PROPER(TRIM(D397)))</f>
        <v>Climbing Gear</v>
      </c>
      <c r="M397" s="4" t="n">
        <f aca="false">IFERROR(VALUE(F397),0)</f>
        <v>2</v>
      </c>
      <c r="N397" s="7" t="n">
        <f aca="false">IFERROR(VALUE(SUBSTITUTE(G397,"$","")),0)</f>
        <v>91.04</v>
      </c>
      <c r="O397" s="4" t="n">
        <f aca="false">IF(A397="",0,IF(COUNTIF($A$2:A397,A397)&gt;1,1,0))</f>
        <v>0</v>
      </c>
      <c r="P397" s="4" t="n">
        <f aca="false">IF(AND(A397&lt;&gt;"",J397&lt;&gt;"",M397&gt;0,N397&gt;0,O397=0),1,0)</f>
        <v>1</v>
      </c>
      <c r="Q397" s="7" t="n">
        <f aca="false">IF(P397=1,M397*N397,0)</f>
        <v>182.08</v>
      </c>
    </row>
    <row r="398" customFormat="false" ht="15" hidden="false" customHeight="false" outlineLevel="0" collapsed="false">
      <c r="A398" s="4" t="n">
        <v>10548</v>
      </c>
      <c r="B398" s="4" t="s">
        <v>751</v>
      </c>
      <c r="C398" s="4" t="s">
        <v>110</v>
      </c>
      <c r="D398" s="4" t="s">
        <v>58</v>
      </c>
      <c r="E398" s="4" t="s">
        <v>125</v>
      </c>
      <c r="F398" s="4" t="n">
        <v>2</v>
      </c>
      <c r="G398" s="4" t="s">
        <v>752</v>
      </c>
      <c r="H398" s="4" t="s">
        <v>47</v>
      </c>
      <c r="I398" s="4" t="s">
        <v>616</v>
      </c>
      <c r="J398" s="6" t="n">
        <f aca="false">IFERROR(DATEVALUE(B398),"")</f>
        <v>45337</v>
      </c>
      <c r="K398" s="4" t="str">
        <f aca="false">IF(A398="","",PROPER(TRIM(C398)))</f>
        <v>Midwest</v>
      </c>
      <c r="L398" s="4" t="str">
        <f aca="false">IF(A398="","",PROPER(TRIM(D398)))</f>
        <v>Climbing Gear</v>
      </c>
      <c r="M398" s="4" t="n">
        <f aca="false">IFERROR(VALUE(F398),0)</f>
        <v>2</v>
      </c>
      <c r="N398" s="7" t="n">
        <f aca="false">IFERROR(VALUE(SUBSTITUTE(G398,"$","")),0)</f>
        <v>99.78</v>
      </c>
      <c r="O398" s="4" t="n">
        <f aca="false">IF(A398="",0,IF(COUNTIF($A$2:A398,A398)&gt;1,1,0))</f>
        <v>1</v>
      </c>
      <c r="P398" s="4" t="n">
        <f aca="false">IF(AND(A398&lt;&gt;"",J398&lt;&gt;"",M398&gt;0,N398&gt;0,O398=0),1,0)</f>
        <v>0</v>
      </c>
      <c r="Q398" s="7" t="n">
        <f aca="false">IF(P398=1,M398*N398,0)</f>
        <v>0</v>
      </c>
    </row>
    <row r="399" customFormat="false" ht="15" hidden="false" customHeight="false" outlineLevel="0" collapsed="false">
      <c r="A399" s="4" t="n">
        <v>10324</v>
      </c>
      <c r="B399" s="4" t="s">
        <v>1090</v>
      </c>
      <c r="C399" s="4" t="s">
        <v>93</v>
      </c>
      <c r="D399" s="4" t="s">
        <v>171</v>
      </c>
      <c r="E399" s="4" t="s">
        <v>448</v>
      </c>
      <c r="F399" s="4" t="n">
        <v>2</v>
      </c>
      <c r="G399" s="4" t="s">
        <v>1091</v>
      </c>
      <c r="H399" s="4" t="s">
        <v>47</v>
      </c>
      <c r="I399" s="4" t="s">
        <v>1092</v>
      </c>
      <c r="J399" s="6" t="n">
        <f aca="false">IFERROR(DATEVALUE(B399),"")</f>
        <v>45349</v>
      </c>
      <c r="K399" s="4" t="str">
        <f aca="false">IF(A399="","",PROPER(TRIM(C399)))</f>
        <v>West</v>
      </c>
      <c r="L399" s="4" t="str">
        <f aca="false">IF(A399="","",PROPER(TRIM(D399)))</f>
        <v>Camping Gear</v>
      </c>
      <c r="M399" s="4" t="n">
        <f aca="false">IFERROR(VALUE(F399),0)</f>
        <v>2</v>
      </c>
      <c r="N399" s="7" t="n">
        <f aca="false">IFERROR(VALUE(SUBSTITUTE(G399,"$","")),0)</f>
        <v>202.32</v>
      </c>
      <c r="O399" s="4" t="n">
        <f aca="false">IF(A399="",0,IF(COUNTIF($A$2:A399,A399)&gt;1,1,0))</f>
        <v>0</v>
      </c>
      <c r="P399" s="4" t="n">
        <f aca="false">IF(AND(A399&lt;&gt;"",J399&lt;&gt;"",M399&gt;0,N399&gt;0,O399=0),1,0)</f>
        <v>1</v>
      </c>
      <c r="Q399" s="7" t="n">
        <f aca="false">IF(P399=1,M399*N399,0)</f>
        <v>404.64</v>
      </c>
    </row>
    <row r="400" customFormat="false" ht="15" hidden="false" customHeight="false" outlineLevel="0" collapsed="false">
      <c r="A400" s="4" t="n">
        <v>10364</v>
      </c>
      <c r="B400" s="4" t="s">
        <v>1093</v>
      </c>
      <c r="C400" s="4" t="s">
        <v>149</v>
      </c>
      <c r="D400" s="4" t="s">
        <v>129</v>
      </c>
      <c r="E400" s="4" t="s">
        <v>125</v>
      </c>
      <c r="F400" s="4" t="n">
        <v>1</v>
      </c>
      <c r="G400" s="4" t="s">
        <v>1094</v>
      </c>
      <c r="H400" s="4" t="s">
        <v>73</v>
      </c>
      <c r="I400" s="4" t="s">
        <v>1095</v>
      </c>
      <c r="J400" s="6" t="n">
        <f aca="false">IFERROR(DATEVALUE(B400),"")</f>
        <v>45568</v>
      </c>
      <c r="K400" s="4" t="str">
        <f aca="false">IF(A400="","",PROPER(TRIM(C400)))</f>
        <v>East</v>
      </c>
      <c r="L400" s="4" t="str">
        <f aca="false">IF(A400="","",PROPER(TRIM(D400)))</f>
        <v>Climbing Gear</v>
      </c>
      <c r="M400" s="4" t="n">
        <f aca="false">IFERROR(VALUE(F400),0)</f>
        <v>1</v>
      </c>
      <c r="N400" s="7" t="n">
        <f aca="false">IFERROR(VALUE(SUBSTITUTE(G400,"$","")),0)</f>
        <v>105.19</v>
      </c>
      <c r="O400" s="4" t="n">
        <f aca="false">IF(A400="",0,IF(COUNTIF($A$2:A400,A400)&gt;1,1,0))</f>
        <v>0</v>
      </c>
      <c r="P400" s="4" t="n">
        <f aca="false">IF(AND(A400&lt;&gt;"",J400&lt;&gt;"",M400&gt;0,N400&gt;0,O400=0),1,0)</f>
        <v>1</v>
      </c>
      <c r="Q400" s="7" t="n">
        <f aca="false">IF(P400=1,M400*N400,0)</f>
        <v>105.19</v>
      </c>
    </row>
    <row r="401" customFormat="false" ht="15" hidden="false" customHeight="false" outlineLevel="0" collapsed="false">
      <c r="A401" s="4" t="n">
        <v>10303</v>
      </c>
      <c r="B401" s="4" t="s">
        <v>1075</v>
      </c>
      <c r="C401" s="4" t="s">
        <v>69</v>
      </c>
      <c r="D401" s="4" t="s">
        <v>141</v>
      </c>
      <c r="E401" s="4" t="s">
        <v>243</v>
      </c>
      <c r="F401" s="4" t="n">
        <v>1</v>
      </c>
      <c r="G401" s="4" t="s">
        <v>1096</v>
      </c>
      <c r="H401" s="4" t="s">
        <v>47</v>
      </c>
      <c r="I401" s="4" t="s">
        <v>358</v>
      </c>
      <c r="J401" s="6" t="n">
        <f aca="false">IFERROR(DATEVALUE(B401),"")</f>
        <v>45350</v>
      </c>
      <c r="K401" s="4" t="str">
        <f aca="false">IF(A401="","",PROPER(TRIM(C401)))</f>
        <v>East</v>
      </c>
      <c r="L401" s="4" t="str">
        <f aca="false">IF(A401="","",PROPER(TRIM(D401)))</f>
        <v>Apparel</v>
      </c>
      <c r="M401" s="4" t="n">
        <f aca="false">IFERROR(VALUE(F401),0)</f>
        <v>1</v>
      </c>
      <c r="N401" s="7" t="n">
        <f aca="false">IFERROR(VALUE(SUBSTITUTE(G401,"$","")),0)</f>
        <v>84.11</v>
      </c>
      <c r="O401" s="4" t="n">
        <f aca="false">IF(A401="",0,IF(COUNTIF($A$2:A401,A401)&gt;1,1,0))</f>
        <v>0</v>
      </c>
      <c r="P401" s="4" t="n">
        <f aca="false">IF(AND(A401&lt;&gt;"",J401&lt;&gt;"",M401&gt;0,N401&gt;0,O401=0),1,0)</f>
        <v>1</v>
      </c>
      <c r="Q401" s="7" t="n">
        <f aca="false">IF(P401=1,M401*N401,0)</f>
        <v>84.11</v>
      </c>
    </row>
    <row r="402" customFormat="false" ht="15" hidden="false" customHeight="false" outlineLevel="0" collapsed="false">
      <c r="A402" s="4" t="n">
        <v>10639</v>
      </c>
      <c r="B402" s="4" t="s">
        <v>1097</v>
      </c>
      <c r="C402" s="4" t="s">
        <v>43</v>
      </c>
      <c r="D402" s="4" t="s">
        <v>51</v>
      </c>
      <c r="E402" s="4" t="s">
        <v>45</v>
      </c>
      <c r="F402" s="4" t="n">
        <v>1</v>
      </c>
      <c r="G402" s="4" t="s">
        <v>1098</v>
      </c>
      <c r="H402" s="4" t="s">
        <v>73</v>
      </c>
      <c r="I402" s="4" t="s">
        <v>499</v>
      </c>
      <c r="J402" s="6" t="n">
        <f aca="false">IFERROR(DATEVALUE(B402),"")</f>
        <v>45502</v>
      </c>
      <c r="K402" s="4" t="str">
        <f aca="false">IF(A402="","",PROPER(TRIM(C402)))</f>
        <v>South</v>
      </c>
      <c r="L402" s="4" t="str">
        <f aca="false">IF(A402="","",PROPER(TRIM(D402)))</f>
        <v>Accessories</v>
      </c>
      <c r="M402" s="4" t="n">
        <f aca="false">IFERROR(VALUE(F402),0)</f>
        <v>1</v>
      </c>
      <c r="N402" s="7" t="n">
        <f aca="false">IFERROR(VALUE(SUBSTITUTE(G402,"$","")),0)</f>
        <v>48.63</v>
      </c>
      <c r="O402" s="4" t="n">
        <f aca="false">IF(A402="",0,IF(COUNTIF($A$2:A402,A402)&gt;1,1,0))</f>
        <v>0</v>
      </c>
      <c r="P402" s="4" t="n">
        <f aca="false">IF(AND(A402&lt;&gt;"",J402&lt;&gt;"",M402&gt;0,N402&gt;0,O402=0),1,0)</f>
        <v>1</v>
      </c>
      <c r="Q402" s="7" t="n">
        <f aca="false">IF(P402=1,M402*N402,0)</f>
        <v>48.63</v>
      </c>
    </row>
    <row r="403" customFormat="false" ht="15" hidden="false" customHeight="false" outlineLevel="0" collapsed="false">
      <c r="A403" s="4" t="n">
        <v>10726</v>
      </c>
      <c r="B403" s="4" t="s">
        <v>1099</v>
      </c>
      <c r="C403" s="4" t="s">
        <v>63</v>
      </c>
      <c r="D403" s="4" t="s">
        <v>106</v>
      </c>
      <c r="E403" s="4" t="s">
        <v>77</v>
      </c>
      <c r="F403" s="4" t="n">
        <v>1</v>
      </c>
      <c r="G403" s="4" t="s">
        <v>1100</v>
      </c>
      <c r="H403" s="4" t="s">
        <v>73</v>
      </c>
      <c r="I403" s="4" t="s">
        <v>127</v>
      </c>
      <c r="J403" s="6" t="n">
        <f aca="false">IFERROR(DATEVALUE(B403),"")</f>
        <v>45697</v>
      </c>
      <c r="K403" s="4" t="str">
        <f aca="false">IF(A403="","",PROPER(TRIM(C403)))</f>
        <v>Midwest</v>
      </c>
      <c r="L403" s="4" t="str">
        <f aca="false">IF(A403="","",PROPER(TRIM(D403)))</f>
        <v>Footwear</v>
      </c>
      <c r="M403" s="4" t="n">
        <f aca="false">IFERROR(VALUE(F403),0)</f>
        <v>1</v>
      </c>
      <c r="N403" s="7" t="n">
        <f aca="false">IFERROR(VALUE(SUBSTITUTE(G403,"$","")),0)</f>
        <v>140.04</v>
      </c>
      <c r="O403" s="4" t="n">
        <f aca="false">IF(A403="",0,IF(COUNTIF($A$2:A403,A403)&gt;1,1,0))</f>
        <v>0</v>
      </c>
      <c r="P403" s="4" t="n">
        <f aca="false">IF(AND(A403&lt;&gt;"",J403&lt;&gt;"",M403&gt;0,N403&gt;0,O403=0),1,0)</f>
        <v>1</v>
      </c>
      <c r="Q403" s="7" t="n">
        <f aca="false">IF(P403=1,M403*N403,0)</f>
        <v>140.04</v>
      </c>
    </row>
    <row r="404" customFormat="false" ht="15" hidden="false" customHeight="false" outlineLevel="0" collapsed="false">
      <c r="A404" s="4" t="n">
        <v>10502</v>
      </c>
      <c r="B404" s="4" t="s">
        <v>216</v>
      </c>
      <c r="C404" s="4" t="s">
        <v>155</v>
      </c>
      <c r="D404" s="4" t="s">
        <v>387</v>
      </c>
      <c r="E404" s="4" t="s">
        <v>71</v>
      </c>
      <c r="F404" s="4" t="n">
        <v>3</v>
      </c>
      <c r="G404" s="4" t="s">
        <v>1101</v>
      </c>
      <c r="H404" s="4" t="s">
        <v>73</v>
      </c>
      <c r="I404" s="4" t="s">
        <v>1102</v>
      </c>
      <c r="J404" s="6" t="str">
        <f aca="false">IFERROR(DATEVALUE(B404),"")</f>
        <v/>
      </c>
      <c r="K404" s="4" t="str">
        <f aca="false">IF(A404="","",PROPER(TRIM(C404)))</f>
        <v>South</v>
      </c>
      <c r="L404" s="4" t="str">
        <f aca="false">IF(A404="","",PROPER(TRIM(D404)))</f>
        <v>Camping Gear</v>
      </c>
      <c r="M404" s="4" t="n">
        <f aca="false">IFERROR(VALUE(F404),0)</f>
        <v>3</v>
      </c>
      <c r="N404" s="7" t="n">
        <f aca="false">IFERROR(VALUE(SUBSTITUTE(G404,"$","")),0)</f>
        <v>60.08</v>
      </c>
      <c r="O404" s="4" t="n">
        <f aca="false">IF(A404="",0,IF(COUNTIF($A$2:A404,A404)&gt;1,1,0))</f>
        <v>0</v>
      </c>
      <c r="P404" s="4" t="n">
        <f aca="false">IF(AND(A404&lt;&gt;"",J404&lt;&gt;"",M404&gt;0,N404&gt;0,O404=0),1,0)</f>
        <v>0</v>
      </c>
      <c r="Q404" s="7" t="n">
        <f aca="false">IF(P404=1,M404*N404,0)</f>
        <v>0</v>
      </c>
    </row>
    <row r="405" customFormat="false" ht="15" hidden="false" customHeight="false" outlineLevel="0" collapsed="false">
      <c r="A405" s="4" t="n">
        <v>10464</v>
      </c>
      <c r="B405" s="4" t="s">
        <v>1103</v>
      </c>
      <c r="C405" s="4" t="s">
        <v>110</v>
      </c>
      <c r="D405" s="4" t="s">
        <v>129</v>
      </c>
      <c r="E405" s="4" t="s">
        <v>188</v>
      </c>
      <c r="F405" s="4" t="n">
        <v>3</v>
      </c>
      <c r="G405" s="4" t="s">
        <v>1104</v>
      </c>
      <c r="H405" s="4" t="s">
        <v>54</v>
      </c>
      <c r="I405" s="4" t="s">
        <v>176</v>
      </c>
      <c r="J405" s="6" t="n">
        <f aca="false">IFERROR(DATEVALUE(B405),"")</f>
        <v>45642</v>
      </c>
      <c r="K405" s="4" t="str">
        <f aca="false">IF(A405="","",PROPER(TRIM(C405)))</f>
        <v>Midwest</v>
      </c>
      <c r="L405" s="4" t="str">
        <f aca="false">IF(A405="","",PROPER(TRIM(D405)))</f>
        <v>Climbing Gear</v>
      </c>
      <c r="M405" s="4" t="n">
        <f aca="false">IFERROR(VALUE(F405),0)</f>
        <v>3</v>
      </c>
      <c r="N405" s="7" t="n">
        <f aca="false">IFERROR(VALUE(SUBSTITUTE(G405,"$","")),0)</f>
        <v>19.34</v>
      </c>
      <c r="O405" s="4" t="n">
        <f aca="false">IF(A405="",0,IF(COUNTIF($A$2:A405,A405)&gt;1,1,0))</f>
        <v>0</v>
      </c>
      <c r="P405" s="4" t="n">
        <f aca="false">IF(AND(A405&lt;&gt;"",J405&lt;&gt;"",M405&gt;0,N405&gt;0,O405=0),1,0)</f>
        <v>1</v>
      </c>
      <c r="Q405" s="7" t="n">
        <f aca="false">IF(P405=1,M405*N405,0)</f>
        <v>58.02</v>
      </c>
    </row>
    <row r="406" customFormat="false" ht="15" hidden="false" customHeight="false" outlineLevel="0" collapsed="false">
      <c r="A406" s="4" t="n">
        <v>10090</v>
      </c>
      <c r="B406" s="4" t="s">
        <v>1105</v>
      </c>
      <c r="C406" s="4" t="s">
        <v>120</v>
      </c>
      <c r="D406" s="4" t="s">
        <v>64</v>
      </c>
      <c r="E406" s="4" t="s">
        <v>65</v>
      </c>
      <c r="F406" s="4" t="n">
        <v>3</v>
      </c>
      <c r="G406" s="4" t="s">
        <v>1106</v>
      </c>
      <c r="H406" s="4" t="s">
        <v>73</v>
      </c>
      <c r="I406" s="4" t="s">
        <v>1107</v>
      </c>
      <c r="J406" s="6" t="n">
        <f aca="false">IFERROR(DATEVALUE(B406),"")</f>
        <v>45293</v>
      </c>
      <c r="K406" s="4" t="str">
        <f aca="false">IF(A406="","",PROPER(TRIM(C406)))</f>
        <v>East</v>
      </c>
      <c r="L406" s="4" t="str">
        <f aca="false">IF(A406="","",PROPER(TRIM(D406)))</f>
        <v>Footwear</v>
      </c>
      <c r="M406" s="4" t="n">
        <f aca="false">IFERROR(VALUE(F406),0)</f>
        <v>3</v>
      </c>
      <c r="N406" s="7" t="n">
        <f aca="false">IFERROR(VALUE(SUBSTITUTE(G406,"$","")),0)</f>
        <v>51.83</v>
      </c>
      <c r="O406" s="4" t="n">
        <f aca="false">IF(A406="",0,IF(COUNTIF($A$2:A406,A406)&gt;1,1,0))</f>
        <v>0</v>
      </c>
      <c r="P406" s="4" t="n">
        <f aca="false">IF(AND(A406&lt;&gt;"",J406&lt;&gt;"",M406&gt;0,N406&gt;0,O406=0),1,0)</f>
        <v>1</v>
      </c>
      <c r="Q406" s="7" t="n">
        <f aca="false">IF(P406=1,M406*N406,0)</f>
        <v>155.49</v>
      </c>
    </row>
    <row r="407" customFormat="false" ht="15" hidden="false" customHeight="false" outlineLevel="0" collapsed="false">
      <c r="A407" s="4" t="n">
        <v>10313</v>
      </c>
      <c r="B407" s="4" t="s">
        <v>1108</v>
      </c>
      <c r="C407" s="4" t="s">
        <v>149</v>
      </c>
      <c r="D407" s="4" t="s">
        <v>64</v>
      </c>
      <c r="E407" s="4" t="s">
        <v>77</v>
      </c>
      <c r="F407" s="4" t="n">
        <v>1</v>
      </c>
      <c r="G407" s="4" t="s">
        <v>1109</v>
      </c>
      <c r="H407" s="4" t="s">
        <v>54</v>
      </c>
      <c r="I407" s="4" t="s">
        <v>169</v>
      </c>
      <c r="J407" s="6" t="n">
        <f aca="false">IFERROR(DATEVALUE(B407),"")</f>
        <v>45561</v>
      </c>
      <c r="K407" s="4" t="str">
        <f aca="false">IF(A407="","",PROPER(TRIM(C407)))</f>
        <v>East</v>
      </c>
      <c r="L407" s="4" t="str">
        <f aca="false">IF(A407="","",PROPER(TRIM(D407)))</f>
        <v>Footwear</v>
      </c>
      <c r="M407" s="4" t="n">
        <f aca="false">IFERROR(VALUE(F407),0)</f>
        <v>1</v>
      </c>
      <c r="N407" s="7" t="n">
        <f aca="false">IFERROR(VALUE(SUBSTITUTE(G407,"$","")),0)</f>
        <v>139.63</v>
      </c>
      <c r="O407" s="4" t="n">
        <f aca="false">IF(A407="",0,IF(COUNTIF($A$2:A407,A407)&gt;1,1,0))</f>
        <v>0</v>
      </c>
      <c r="P407" s="4" t="n">
        <f aca="false">IF(AND(A407&lt;&gt;"",J407&lt;&gt;"",M407&gt;0,N407&gt;0,O407=0),1,0)</f>
        <v>1</v>
      </c>
      <c r="Q407" s="7" t="n">
        <f aca="false">IF(P407=1,M407*N407,0)</f>
        <v>139.63</v>
      </c>
    </row>
    <row r="408" customFormat="false" ht="15" hidden="false" customHeight="false" outlineLevel="0" collapsed="false">
      <c r="A408" s="4" t="n">
        <v>10526</v>
      </c>
      <c r="B408" s="4" t="s">
        <v>1110</v>
      </c>
      <c r="C408" s="4" t="s">
        <v>133</v>
      </c>
      <c r="D408" s="4" t="s">
        <v>230</v>
      </c>
      <c r="E408" s="4" t="s">
        <v>142</v>
      </c>
      <c r="F408" s="4" t="n">
        <v>2</v>
      </c>
      <c r="G408" s="4" t="s">
        <v>1111</v>
      </c>
      <c r="H408" s="4" t="s">
        <v>47</v>
      </c>
      <c r="I408" s="4" t="s">
        <v>1112</v>
      </c>
      <c r="J408" s="6" t="n">
        <f aca="false">IFERROR(DATEVALUE(B408),"")</f>
        <v>45501</v>
      </c>
      <c r="K408" s="4" t="str">
        <f aca="false">IF(A408="","",PROPER(TRIM(C408)))</f>
        <v>East</v>
      </c>
      <c r="L408" s="4" t="str">
        <f aca="false">IF(A408="","",PROPER(TRIM(D408)))</f>
        <v>Apparel</v>
      </c>
      <c r="M408" s="4" t="n">
        <f aca="false">IFERROR(VALUE(F408),0)</f>
        <v>2</v>
      </c>
      <c r="N408" s="7" t="n">
        <f aca="false">IFERROR(VALUE(SUBSTITUTE(G408,"$","")),0)</f>
        <v>205.67</v>
      </c>
      <c r="O408" s="4" t="n">
        <f aca="false">IF(A408="",0,IF(COUNTIF($A$2:A408,A408)&gt;1,1,0))</f>
        <v>0</v>
      </c>
      <c r="P408" s="4" t="n">
        <f aca="false">IF(AND(A408&lt;&gt;"",J408&lt;&gt;"",M408&gt;0,N408&gt;0,O408=0),1,0)</f>
        <v>1</v>
      </c>
      <c r="Q408" s="7" t="n">
        <f aca="false">IF(P408=1,M408*N408,0)</f>
        <v>411.34</v>
      </c>
    </row>
    <row r="409" customFormat="false" ht="15" hidden="false" customHeight="false" outlineLevel="0" collapsed="false">
      <c r="A409" s="4" t="n">
        <v>10569</v>
      </c>
      <c r="B409" s="4" t="s">
        <v>201</v>
      </c>
      <c r="C409" s="4" t="s">
        <v>50</v>
      </c>
      <c r="D409" s="4" t="s">
        <v>115</v>
      </c>
      <c r="E409" s="4" t="s">
        <v>142</v>
      </c>
      <c r="F409" s="4" t="n">
        <v>2</v>
      </c>
      <c r="G409" s="4" t="s">
        <v>1113</v>
      </c>
      <c r="H409" s="4" t="s">
        <v>54</v>
      </c>
      <c r="I409" s="4" t="s">
        <v>554</v>
      </c>
      <c r="J409" s="6" t="n">
        <f aca="false">IFERROR(DATEVALUE(B409),"")</f>
        <v>45730</v>
      </c>
      <c r="K409" s="4" t="str">
        <f aca="false">IF(A409="","",PROPER(TRIM(C409)))</f>
        <v>Midwest</v>
      </c>
      <c r="L409" s="4" t="str">
        <f aca="false">IF(A409="","",PROPER(TRIM(D409)))</f>
        <v>Apparel</v>
      </c>
      <c r="M409" s="4" t="n">
        <f aca="false">IFERROR(VALUE(F409),0)</f>
        <v>2</v>
      </c>
      <c r="N409" s="7" t="n">
        <f aca="false">IFERROR(VALUE(SUBSTITUTE(G409,"$","")),0)</f>
        <v>174.64</v>
      </c>
      <c r="O409" s="4" t="n">
        <f aca="false">IF(A409="",0,IF(COUNTIF($A$2:A409,A409)&gt;1,1,0))</f>
        <v>0</v>
      </c>
      <c r="P409" s="4" t="n">
        <f aca="false">IF(AND(A409&lt;&gt;"",J409&lt;&gt;"",M409&gt;0,N409&gt;0,O409=0),1,0)</f>
        <v>1</v>
      </c>
      <c r="Q409" s="7" t="n">
        <f aca="false">IF(P409=1,M409*N409,0)</f>
        <v>349.28</v>
      </c>
    </row>
    <row r="410" customFormat="false" ht="15" hidden="false" customHeight="false" outlineLevel="0" collapsed="false">
      <c r="A410" s="4" t="n">
        <v>10048</v>
      </c>
      <c r="B410" s="4" t="s">
        <v>1114</v>
      </c>
      <c r="C410" s="4" t="s">
        <v>155</v>
      </c>
      <c r="D410" s="4" t="s">
        <v>58</v>
      </c>
      <c r="E410" s="4" t="s">
        <v>188</v>
      </c>
      <c r="F410" s="4" t="n">
        <v>1</v>
      </c>
      <c r="G410" s="4" t="s">
        <v>1115</v>
      </c>
      <c r="H410" s="4" t="s">
        <v>73</v>
      </c>
      <c r="I410" s="4" t="s">
        <v>1116</v>
      </c>
      <c r="J410" s="6" t="n">
        <f aca="false">IFERROR(DATEVALUE(B410),"")</f>
        <v>45692</v>
      </c>
      <c r="K410" s="4" t="str">
        <f aca="false">IF(A410="","",PROPER(TRIM(C410)))</f>
        <v>South</v>
      </c>
      <c r="L410" s="4" t="str">
        <f aca="false">IF(A410="","",PROPER(TRIM(D410)))</f>
        <v>Climbing Gear</v>
      </c>
      <c r="M410" s="4" t="n">
        <f aca="false">IFERROR(VALUE(F410),0)</f>
        <v>1</v>
      </c>
      <c r="N410" s="7" t="n">
        <f aca="false">IFERROR(VALUE(SUBSTITUTE(G410,"$","")),0)</f>
        <v>17.99</v>
      </c>
      <c r="O410" s="4" t="n">
        <f aca="false">IF(A410="",0,IF(COUNTIF($A$2:A410,A410)&gt;1,1,0))</f>
        <v>0</v>
      </c>
      <c r="P410" s="4" t="n">
        <f aca="false">IF(AND(A410&lt;&gt;"",J410&lt;&gt;"",M410&gt;0,N410&gt;0,O410=0),1,0)</f>
        <v>1</v>
      </c>
      <c r="Q410" s="7" t="n">
        <f aca="false">IF(P410=1,M410*N410,0)</f>
        <v>17.99</v>
      </c>
    </row>
    <row r="411" customFormat="false" ht="15" hidden="false" customHeight="false" outlineLevel="0" collapsed="false">
      <c r="A411" s="4" t="n">
        <v>10397</v>
      </c>
      <c r="B411" s="4" t="s">
        <v>1117</v>
      </c>
      <c r="C411" s="4" t="s">
        <v>50</v>
      </c>
      <c r="D411" s="4" t="s">
        <v>129</v>
      </c>
      <c r="E411" s="4" t="s">
        <v>59</v>
      </c>
      <c r="F411" s="4" t="n">
        <v>1</v>
      </c>
      <c r="G411" s="4" t="s">
        <v>1118</v>
      </c>
      <c r="H411" s="4" t="s">
        <v>73</v>
      </c>
      <c r="I411" s="4" t="s">
        <v>915</v>
      </c>
      <c r="J411" s="6" t="n">
        <f aca="false">IFERROR(DATEVALUE(B411),"")</f>
        <v>45319</v>
      </c>
      <c r="K411" s="4" t="str">
        <f aca="false">IF(A411="","",PROPER(TRIM(C411)))</f>
        <v>Midwest</v>
      </c>
      <c r="L411" s="4" t="str">
        <f aca="false">IF(A411="","",PROPER(TRIM(D411)))</f>
        <v>Climbing Gear</v>
      </c>
      <c r="M411" s="4" t="n">
        <f aca="false">IFERROR(VALUE(F411),0)</f>
        <v>1</v>
      </c>
      <c r="N411" s="7" t="n">
        <f aca="false">IFERROR(VALUE(SUBSTITUTE(G411,"$","")),0)</f>
        <v>41</v>
      </c>
      <c r="O411" s="4" t="n">
        <f aca="false">IF(A411="",0,IF(COUNTIF($A$2:A411,A411)&gt;1,1,0))</f>
        <v>0</v>
      </c>
      <c r="P411" s="4" t="n">
        <f aca="false">IF(AND(A411&lt;&gt;"",J411&lt;&gt;"",M411&gt;0,N411&gt;0,O411=0),1,0)</f>
        <v>1</v>
      </c>
      <c r="Q411" s="7" t="n">
        <f aca="false">IF(P411=1,M411*N411,0)</f>
        <v>41</v>
      </c>
    </row>
    <row r="412" customFormat="false" ht="15" hidden="false" customHeight="false" outlineLevel="0" collapsed="false">
      <c r="A412" s="4" t="n">
        <v>10087</v>
      </c>
      <c r="B412" s="4" t="s">
        <v>1119</v>
      </c>
      <c r="C412" s="4" t="s">
        <v>50</v>
      </c>
      <c r="D412" s="4" t="s">
        <v>438</v>
      </c>
      <c r="E412" s="4" t="s">
        <v>77</v>
      </c>
      <c r="F412" s="4" t="n">
        <v>3</v>
      </c>
      <c r="G412" s="4" t="s">
        <v>1120</v>
      </c>
      <c r="H412" s="4" t="s">
        <v>47</v>
      </c>
      <c r="I412" s="4" t="s">
        <v>253</v>
      </c>
      <c r="J412" s="6" t="n">
        <f aca="false">IFERROR(DATEVALUE(B412),"")</f>
        <v>45359</v>
      </c>
      <c r="K412" s="4" t="str">
        <f aca="false">IF(A412="","",PROPER(TRIM(C412)))</f>
        <v>Midwest</v>
      </c>
      <c r="L412" s="4" t="str">
        <f aca="false">IF(A412="","",PROPER(TRIM(D412)))</f>
        <v>Footwear</v>
      </c>
      <c r="M412" s="4" t="n">
        <f aca="false">IFERROR(VALUE(F412),0)</f>
        <v>3</v>
      </c>
      <c r="N412" s="7" t="n">
        <f aca="false">IFERROR(VALUE(SUBSTITUTE(G412,"$","")),0)</f>
        <v>140.93</v>
      </c>
      <c r="O412" s="4" t="n">
        <f aca="false">IF(A412="",0,IF(COUNTIF($A$2:A412,A412)&gt;1,1,0))</f>
        <v>0</v>
      </c>
      <c r="P412" s="4" t="n">
        <f aca="false">IF(AND(A412&lt;&gt;"",J412&lt;&gt;"",M412&gt;0,N412&gt;0,O412=0),1,0)</f>
        <v>1</v>
      </c>
      <c r="Q412" s="7" t="n">
        <f aca="false">IF(P412=1,M412*N412,0)</f>
        <v>422.79</v>
      </c>
    </row>
    <row r="413" customFormat="false" ht="15" hidden="false" customHeight="false" outlineLevel="0" collapsed="false">
      <c r="A413" s="4" t="n">
        <v>10437</v>
      </c>
      <c r="B413" s="4" t="s">
        <v>822</v>
      </c>
      <c r="C413" s="4" t="s">
        <v>50</v>
      </c>
      <c r="D413" s="4" t="s">
        <v>64</v>
      </c>
      <c r="E413" s="4" t="s">
        <v>111</v>
      </c>
      <c r="F413" s="4" t="n">
        <v>4</v>
      </c>
      <c r="G413" s="4" t="s">
        <v>1121</v>
      </c>
      <c r="H413" s="4" t="s">
        <v>47</v>
      </c>
      <c r="I413" s="4" t="s">
        <v>668</v>
      </c>
      <c r="J413" s="6" t="n">
        <f aca="false">IFERROR(DATEVALUE(B413),"")</f>
        <v>45449</v>
      </c>
      <c r="K413" s="4" t="str">
        <f aca="false">IF(A413="","",PROPER(TRIM(C413)))</f>
        <v>Midwest</v>
      </c>
      <c r="L413" s="4" t="str">
        <f aca="false">IF(A413="","",PROPER(TRIM(D413)))</f>
        <v>Footwear</v>
      </c>
      <c r="M413" s="4" t="n">
        <f aca="false">IFERROR(VALUE(F413),0)</f>
        <v>4</v>
      </c>
      <c r="N413" s="7" t="n">
        <f aca="false">IFERROR(VALUE(SUBSTITUTE(G413,"$","")),0)</f>
        <v>100.95</v>
      </c>
      <c r="O413" s="4" t="n">
        <f aca="false">IF(A413="",0,IF(COUNTIF($A$2:A413,A413)&gt;1,1,0))</f>
        <v>0</v>
      </c>
      <c r="P413" s="4" t="n">
        <f aca="false">IF(AND(A413&lt;&gt;"",J413&lt;&gt;"",M413&gt;0,N413&gt;0,O413=0),1,0)</f>
        <v>1</v>
      </c>
      <c r="Q413" s="7" t="n">
        <f aca="false">IF(P413=1,M413*N413,0)</f>
        <v>403.8</v>
      </c>
    </row>
    <row r="414" customFormat="false" ht="15" hidden="false" customHeight="false" outlineLevel="0" collapsed="false">
      <c r="A414" s="4" t="n">
        <v>10059</v>
      </c>
      <c r="B414" s="4" t="s">
        <v>1122</v>
      </c>
      <c r="C414" s="4" t="s">
        <v>435</v>
      </c>
      <c r="D414" s="4" t="s">
        <v>171</v>
      </c>
      <c r="E414" s="4" t="s">
        <v>448</v>
      </c>
      <c r="F414" s="4" t="n">
        <v>1</v>
      </c>
      <c r="G414" s="4" t="s">
        <v>1123</v>
      </c>
      <c r="H414" s="4" t="s">
        <v>73</v>
      </c>
      <c r="I414" s="4" t="s">
        <v>514</v>
      </c>
      <c r="J414" s="6" t="n">
        <f aca="false">IFERROR(DATEVALUE(B414),"")</f>
        <v>45627</v>
      </c>
      <c r="K414" s="4" t="str">
        <f aca="false">IF(A414="","",PROPER(TRIM(C414)))</f>
        <v>Midwest</v>
      </c>
      <c r="L414" s="4" t="str">
        <f aca="false">IF(A414="","",PROPER(TRIM(D414)))</f>
        <v>Camping Gear</v>
      </c>
      <c r="M414" s="4" t="n">
        <f aca="false">IFERROR(VALUE(F414),0)</f>
        <v>1</v>
      </c>
      <c r="N414" s="7" t="n">
        <f aca="false">IFERROR(VALUE(SUBSTITUTE(G414,"$","")),0)</f>
        <v>199.83</v>
      </c>
      <c r="O414" s="4" t="n">
        <f aca="false">IF(A414="",0,IF(COUNTIF($A$2:A414,A414)&gt;1,1,0))</f>
        <v>0</v>
      </c>
      <c r="P414" s="4" t="n">
        <f aca="false">IF(AND(A414&lt;&gt;"",J414&lt;&gt;"",M414&gt;0,N414&gt;0,O414=0),1,0)</f>
        <v>1</v>
      </c>
      <c r="Q414" s="7" t="n">
        <f aca="false">IF(P414=1,M414*N414,0)</f>
        <v>199.83</v>
      </c>
    </row>
    <row r="415" customFormat="false" ht="15" hidden="false" customHeight="false" outlineLevel="0" collapsed="false">
      <c r="A415" s="4" t="n">
        <v>10527</v>
      </c>
      <c r="B415" s="4" t="s">
        <v>518</v>
      </c>
      <c r="C415" s="4" t="s">
        <v>435</v>
      </c>
      <c r="D415" s="4" t="s">
        <v>171</v>
      </c>
      <c r="E415" s="4" t="s">
        <v>71</v>
      </c>
      <c r="F415" s="4" t="n">
        <v>2</v>
      </c>
      <c r="G415" s="4" t="s">
        <v>1124</v>
      </c>
      <c r="H415" s="4" t="s">
        <v>54</v>
      </c>
      <c r="I415" s="4" t="s">
        <v>355</v>
      </c>
      <c r="J415" s="6" t="n">
        <f aca="false">IFERROR(DATEVALUE(B415),"")</f>
        <v>45739</v>
      </c>
      <c r="K415" s="4" t="str">
        <f aca="false">IF(A415="","",PROPER(TRIM(C415)))</f>
        <v>Midwest</v>
      </c>
      <c r="L415" s="4" t="str">
        <f aca="false">IF(A415="","",PROPER(TRIM(D415)))</f>
        <v>Camping Gear</v>
      </c>
      <c r="M415" s="4" t="n">
        <f aca="false">IFERROR(VALUE(F415),0)</f>
        <v>2</v>
      </c>
      <c r="N415" s="7" t="n">
        <f aca="false">IFERROR(VALUE(SUBSTITUTE(G415,"$","")),0)</f>
        <v>74.57</v>
      </c>
      <c r="O415" s="4" t="n">
        <f aca="false">IF(A415="",0,IF(COUNTIF($A$2:A415,A415)&gt;1,1,0))</f>
        <v>0</v>
      </c>
      <c r="P415" s="4" t="n">
        <f aca="false">IF(AND(A415&lt;&gt;"",J415&lt;&gt;"",M415&gt;0,N415&gt;0,O415=0),1,0)</f>
        <v>1</v>
      </c>
      <c r="Q415" s="7" t="n">
        <f aca="false">IF(P415=1,M415*N415,0)</f>
        <v>149.14</v>
      </c>
    </row>
    <row r="416" customFormat="false" ht="15" hidden="false" customHeight="false" outlineLevel="0" collapsed="false">
      <c r="A416" s="4" t="n">
        <v>10772</v>
      </c>
      <c r="B416" s="4" t="s">
        <v>1125</v>
      </c>
      <c r="C416" s="4" t="s">
        <v>50</v>
      </c>
      <c r="D416" s="4" t="s">
        <v>387</v>
      </c>
      <c r="E416" s="4" t="s">
        <v>71</v>
      </c>
      <c r="F416" s="4" t="n">
        <v>1</v>
      </c>
      <c r="G416" s="4" t="s">
        <v>1126</v>
      </c>
      <c r="H416" s="4" t="s">
        <v>73</v>
      </c>
      <c r="I416" s="4" t="s">
        <v>1010</v>
      </c>
      <c r="J416" s="6" t="n">
        <f aca="false">IFERROR(DATEVALUE(B416),"")</f>
        <v>45584</v>
      </c>
      <c r="K416" s="4" t="str">
        <f aca="false">IF(A416="","",PROPER(TRIM(C416)))</f>
        <v>Midwest</v>
      </c>
      <c r="L416" s="4" t="str">
        <f aca="false">IF(A416="","",PROPER(TRIM(D416)))</f>
        <v>Camping Gear</v>
      </c>
      <c r="M416" s="4" t="n">
        <f aca="false">IFERROR(VALUE(F416),0)</f>
        <v>1</v>
      </c>
      <c r="N416" s="7" t="n">
        <f aca="false">IFERROR(VALUE(SUBSTITUTE(G416,"$","")),0)</f>
        <v>69.16</v>
      </c>
      <c r="O416" s="4" t="n">
        <f aca="false">IF(A416="",0,IF(COUNTIF($A$2:A416,A416)&gt;1,1,0))</f>
        <v>0</v>
      </c>
      <c r="P416" s="4" t="n">
        <f aca="false">IF(AND(A416&lt;&gt;"",J416&lt;&gt;"",M416&gt;0,N416&gt;0,O416=0),1,0)</f>
        <v>1</v>
      </c>
      <c r="Q416" s="7" t="n">
        <f aca="false">IF(P416=1,M416*N416,0)</f>
        <v>69.16</v>
      </c>
    </row>
    <row r="417" customFormat="false" ht="15" hidden="false" customHeight="false" outlineLevel="0" collapsed="false">
      <c r="A417" s="4" t="n">
        <v>10688</v>
      </c>
      <c r="B417" s="4" t="s">
        <v>1127</v>
      </c>
      <c r="C417" s="4" t="s">
        <v>120</v>
      </c>
      <c r="D417" s="4" t="s">
        <v>81</v>
      </c>
      <c r="E417" s="4" t="s">
        <v>111</v>
      </c>
      <c r="F417" s="4" t="n">
        <v>2</v>
      </c>
      <c r="G417" s="4" t="s">
        <v>1128</v>
      </c>
      <c r="H417" s="4" t="s">
        <v>47</v>
      </c>
      <c r="I417" s="4" t="s">
        <v>1129</v>
      </c>
      <c r="J417" s="6" t="n">
        <f aca="false">IFERROR(DATEVALUE(B417),"")</f>
        <v>45347</v>
      </c>
      <c r="K417" s="4" t="str">
        <f aca="false">IF(A417="","",PROPER(TRIM(C417)))</f>
        <v>East</v>
      </c>
      <c r="L417" s="4" t="str">
        <f aca="false">IF(A417="","",PROPER(TRIM(D417)))</f>
        <v>Footwear</v>
      </c>
      <c r="M417" s="4" t="n">
        <f aca="false">IFERROR(VALUE(F417),0)</f>
        <v>2</v>
      </c>
      <c r="N417" s="7" t="n">
        <f aca="false">IFERROR(VALUE(SUBSTITUTE(G417,"$","")),0)</f>
        <v>90.63</v>
      </c>
      <c r="O417" s="4" t="n">
        <f aca="false">IF(A417="",0,IF(COUNTIF($A$2:A417,A417)&gt;1,1,0))</f>
        <v>0</v>
      </c>
      <c r="P417" s="4" t="n">
        <f aca="false">IF(AND(A417&lt;&gt;"",J417&lt;&gt;"",M417&gt;0,N417&gt;0,O417=0),1,0)</f>
        <v>1</v>
      </c>
      <c r="Q417" s="7" t="n">
        <f aca="false">IF(P417=1,M417*N417,0)</f>
        <v>181.26</v>
      </c>
    </row>
    <row r="418" customFormat="false" ht="15" hidden="false" customHeight="false" outlineLevel="0" collapsed="false">
      <c r="A418" s="4" t="n">
        <v>10321</v>
      </c>
      <c r="B418" s="4" t="s">
        <v>1130</v>
      </c>
      <c r="C418" s="4" t="s">
        <v>133</v>
      </c>
      <c r="D418" s="4" t="s">
        <v>217</v>
      </c>
      <c r="E418" s="4" t="s">
        <v>142</v>
      </c>
      <c r="F418" s="4" t="n">
        <v>2</v>
      </c>
      <c r="G418" s="4" t="s">
        <v>1131</v>
      </c>
      <c r="H418" s="4" t="s">
        <v>54</v>
      </c>
      <c r="I418" s="4" t="s">
        <v>200</v>
      </c>
      <c r="J418" s="6" t="n">
        <f aca="false">IFERROR(DATEVALUE(B418),"")</f>
        <v>45615</v>
      </c>
      <c r="K418" s="4" t="str">
        <f aca="false">IF(A418="","",PROPER(TRIM(C418)))</f>
        <v>East</v>
      </c>
      <c r="L418" s="4" t="str">
        <f aca="false">IF(A418="","",PROPER(TRIM(D418)))</f>
        <v>Apparel</v>
      </c>
      <c r="M418" s="4" t="n">
        <f aca="false">IFERROR(VALUE(F418),0)</f>
        <v>2</v>
      </c>
      <c r="N418" s="7" t="n">
        <f aca="false">IFERROR(VALUE(SUBSTITUTE(G418,"$","")),0)</f>
        <v>193.5</v>
      </c>
      <c r="O418" s="4" t="n">
        <f aca="false">IF(A418="",0,IF(COUNTIF($A$2:A418,A418)&gt;1,1,0))</f>
        <v>0</v>
      </c>
      <c r="P418" s="4" t="n">
        <f aca="false">IF(AND(A418&lt;&gt;"",J418&lt;&gt;"",M418&gt;0,N418&gt;0,O418=0),1,0)</f>
        <v>1</v>
      </c>
      <c r="Q418" s="7" t="n">
        <f aca="false">IF(P418=1,M418*N418,0)</f>
        <v>387</v>
      </c>
    </row>
    <row r="419" customFormat="false" ht="15" hidden="false" customHeight="false" outlineLevel="0" collapsed="false">
      <c r="A419" s="4" t="n">
        <v>10445</v>
      </c>
      <c r="B419" s="4" t="s">
        <v>1132</v>
      </c>
      <c r="C419" s="4" t="s">
        <v>69</v>
      </c>
      <c r="D419" s="4" t="s">
        <v>101</v>
      </c>
      <c r="E419" s="4" t="s">
        <v>160</v>
      </c>
      <c r="F419" s="4" t="n">
        <v>2</v>
      </c>
      <c r="G419" s="4" t="s">
        <v>1133</v>
      </c>
      <c r="H419" s="4" t="s">
        <v>73</v>
      </c>
      <c r="I419" s="4" t="s">
        <v>1134</v>
      </c>
      <c r="J419" s="6" t="n">
        <f aca="false">IFERROR(DATEVALUE(B419),"")</f>
        <v>45434</v>
      </c>
      <c r="K419" s="4" t="str">
        <f aca="false">IF(A419="","",PROPER(TRIM(C419)))</f>
        <v>East</v>
      </c>
      <c r="L419" s="4" t="str">
        <f aca="false">IF(A419="","",PROPER(TRIM(D419)))</f>
        <v>Accessories</v>
      </c>
      <c r="M419" s="4" t="n">
        <f aca="false">IFERROR(VALUE(F419),0)</f>
        <v>2</v>
      </c>
      <c r="N419" s="7" t="n">
        <f aca="false">IFERROR(VALUE(SUBSTITUTE(G419,"$","")),0)</f>
        <v>26.31</v>
      </c>
      <c r="O419" s="4" t="n">
        <f aca="false">IF(A419="",0,IF(COUNTIF($A$2:A419,A419)&gt;1,1,0))</f>
        <v>0</v>
      </c>
      <c r="P419" s="4" t="n">
        <f aca="false">IF(AND(A419&lt;&gt;"",J419&lt;&gt;"",M419&gt;0,N419&gt;0,O419=0),1,0)</f>
        <v>1</v>
      </c>
      <c r="Q419" s="7" t="n">
        <f aca="false">IF(P419=1,M419*N419,0)</f>
        <v>52.62</v>
      </c>
    </row>
    <row r="420" customFormat="false" ht="15" hidden="false" customHeight="false" outlineLevel="0" collapsed="false">
      <c r="A420" s="4" t="n">
        <v>10179</v>
      </c>
      <c r="B420" s="4" t="s">
        <v>992</v>
      </c>
      <c r="C420" s="4" t="s">
        <v>140</v>
      </c>
      <c r="D420" s="4" t="s">
        <v>124</v>
      </c>
      <c r="E420" s="4" t="s">
        <v>125</v>
      </c>
      <c r="F420" s="4" t="n">
        <v>3</v>
      </c>
      <c r="G420" s="4" t="s">
        <v>1135</v>
      </c>
      <c r="H420" s="4" t="s">
        <v>73</v>
      </c>
      <c r="I420" s="4" t="s">
        <v>1136</v>
      </c>
      <c r="J420" s="6" t="n">
        <f aca="false">IFERROR(DATEVALUE(B420),"")</f>
        <v>45798</v>
      </c>
      <c r="K420" s="4" t="str">
        <f aca="false">IF(A420="","",PROPER(TRIM(C420)))</f>
        <v>South</v>
      </c>
      <c r="L420" s="4" t="str">
        <f aca="false">IF(A420="","",PROPER(TRIM(D420)))</f>
        <v>Climbing Gear</v>
      </c>
      <c r="M420" s="4" t="n">
        <f aca="false">IFERROR(VALUE(F420),0)</f>
        <v>3</v>
      </c>
      <c r="N420" s="7" t="n">
        <f aca="false">IFERROR(VALUE(SUBSTITUTE(G420,"$","")),0)</f>
        <v>107.93</v>
      </c>
      <c r="O420" s="4" t="n">
        <f aca="false">IF(A420="",0,IF(COUNTIF($A$2:A420,A420)&gt;1,1,0))</f>
        <v>0</v>
      </c>
      <c r="P420" s="4" t="n">
        <f aca="false">IF(AND(A420&lt;&gt;"",J420&lt;&gt;"",M420&gt;0,N420&gt;0,O420=0),1,0)</f>
        <v>1</v>
      </c>
      <c r="Q420" s="7" t="n">
        <f aca="false">IF(P420=1,M420*N420,0)</f>
        <v>323.79</v>
      </c>
    </row>
    <row r="421" customFormat="false" ht="15" hidden="false" customHeight="false" outlineLevel="0" collapsed="false">
      <c r="A421" s="4" t="n">
        <v>10305</v>
      </c>
      <c r="B421" s="4" t="s">
        <v>1137</v>
      </c>
      <c r="C421" s="4" t="s">
        <v>50</v>
      </c>
      <c r="D421" s="4" t="s">
        <v>51</v>
      </c>
      <c r="E421" s="4" t="s">
        <v>45</v>
      </c>
      <c r="F421" s="4" t="n">
        <v>5</v>
      </c>
      <c r="G421" s="4" t="s">
        <v>1138</v>
      </c>
      <c r="H421" s="4" t="s">
        <v>54</v>
      </c>
      <c r="I421" s="4" t="s">
        <v>319</v>
      </c>
      <c r="J421" s="6" t="n">
        <f aca="false">IFERROR(DATEVALUE(B421),"")</f>
        <v>45803</v>
      </c>
      <c r="K421" s="4" t="str">
        <f aca="false">IF(A421="","",PROPER(TRIM(C421)))</f>
        <v>Midwest</v>
      </c>
      <c r="L421" s="4" t="str">
        <f aca="false">IF(A421="","",PROPER(TRIM(D421)))</f>
        <v>Accessories</v>
      </c>
      <c r="M421" s="4" t="n">
        <f aca="false">IFERROR(VALUE(F421),0)</f>
        <v>5</v>
      </c>
      <c r="N421" s="7" t="n">
        <f aca="false">IFERROR(VALUE(SUBSTITUTE(G421,"$","")),0)</f>
        <v>50.57</v>
      </c>
      <c r="O421" s="4" t="n">
        <f aca="false">IF(A421="",0,IF(COUNTIF($A$2:A421,A421)&gt;1,1,0))</f>
        <v>0</v>
      </c>
      <c r="P421" s="4" t="n">
        <f aca="false">IF(AND(A421&lt;&gt;"",J421&lt;&gt;"",M421&gt;0,N421&gt;0,O421=0),1,0)</f>
        <v>1</v>
      </c>
      <c r="Q421" s="7" t="n">
        <f aca="false">IF(P421=1,M421*N421,0)</f>
        <v>252.85</v>
      </c>
    </row>
    <row r="422" customFormat="false" ht="15" hidden="false" customHeight="false" outlineLevel="0" collapsed="false">
      <c r="A422" s="4" t="n">
        <v>10764</v>
      </c>
      <c r="B422" s="4" t="s">
        <v>1139</v>
      </c>
      <c r="C422" s="4" t="s">
        <v>315</v>
      </c>
      <c r="D422" s="4" t="s">
        <v>387</v>
      </c>
      <c r="E422" s="4" t="s">
        <v>251</v>
      </c>
      <c r="F422" s="4" t="n">
        <v>1</v>
      </c>
      <c r="G422" s="4" t="s">
        <v>1140</v>
      </c>
      <c r="H422" s="4" t="s">
        <v>54</v>
      </c>
      <c r="I422" s="4" t="s">
        <v>783</v>
      </c>
      <c r="J422" s="6" t="n">
        <f aca="false">IFERROR(DATEVALUE(B422),"")</f>
        <v>45739</v>
      </c>
      <c r="K422" s="4" t="str">
        <f aca="false">IF(A422="","",PROPER(TRIM(C422)))</f>
        <v>South</v>
      </c>
      <c r="L422" s="4" t="str">
        <f aca="false">IF(A422="","",PROPER(TRIM(D422)))</f>
        <v>Camping Gear</v>
      </c>
      <c r="M422" s="4" t="n">
        <f aca="false">IFERROR(VALUE(F422),0)</f>
        <v>1</v>
      </c>
      <c r="N422" s="7" t="n">
        <f aca="false">IFERROR(VALUE(SUBSTITUTE(G422,"$","")),0)</f>
        <v>81.68</v>
      </c>
      <c r="O422" s="4" t="n">
        <f aca="false">IF(A422="",0,IF(COUNTIF($A$2:A422,A422)&gt;1,1,0))</f>
        <v>0</v>
      </c>
      <c r="P422" s="4" t="n">
        <f aca="false">IF(AND(A422&lt;&gt;"",J422&lt;&gt;"",M422&gt;0,N422&gt;0,O422=0),1,0)</f>
        <v>1</v>
      </c>
      <c r="Q422" s="7" t="n">
        <f aca="false">IF(P422=1,M422*N422,0)</f>
        <v>81.68</v>
      </c>
    </row>
    <row r="423" customFormat="false" ht="15" hidden="false" customHeight="false" outlineLevel="0" collapsed="false">
      <c r="A423" s="4" t="n">
        <v>10611</v>
      </c>
      <c r="B423" s="4" t="s">
        <v>1141</v>
      </c>
      <c r="C423" s="4" t="s">
        <v>178</v>
      </c>
      <c r="D423" s="4" t="s">
        <v>58</v>
      </c>
      <c r="E423" s="4" t="s">
        <v>125</v>
      </c>
      <c r="F423" s="4" t="n">
        <v>1</v>
      </c>
      <c r="G423" s="4" t="s">
        <v>1142</v>
      </c>
      <c r="H423" s="4" t="s">
        <v>47</v>
      </c>
      <c r="I423" s="4" t="s">
        <v>1143</v>
      </c>
      <c r="J423" s="6" t="n">
        <f aca="false">IFERROR(DATEVALUE(B423),"")</f>
        <v>45800</v>
      </c>
      <c r="K423" s="4" t="str">
        <f aca="false">IF(A423="","",PROPER(TRIM(C423)))</f>
        <v>South</v>
      </c>
      <c r="L423" s="4" t="str">
        <f aca="false">IF(A423="","",PROPER(TRIM(D423)))</f>
        <v>Climbing Gear</v>
      </c>
      <c r="M423" s="4" t="n">
        <f aca="false">IFERROR(VALUE(F423),0)</f>
        <v>1</v>
      </c>
      <c r="N423" s="7" t="n">
        <f aca="false">IFERROR(VALUE(SUBSTITUTE(G423,"$","")),0)</f>
        <v>89.96</v>
      </c>
      <c r="O423" s="4" t="n">
        <f aca="false">IF(A423="",0,IF(COUNTIF($A$2:A423,A423)&gt;1,1,0))</f>
        <v>0</v>
      </c>
      <c r="P423" s="4" t="n">
        <f aca="false">IF(AND(A423&lt;&gt;"",J423&lt;&gt;"",M423&gt;0,N423&gt;0,O423=0),1,0)</f>
        <v>1</v>
      </c>
      <c r="Q423" s="7" t="n">
        <f aca="false">IF(P423=1,M423*N423,0)</f>
        <v>89.96</v>
      </c>
    </row>
    <row r="424" customFormat="false" ht="15" hidden="false" customHeight="false" outlineLevel="0" collapsed="false">
      <c r="A424" s="4" t="n">
        <v>10132</v>
      </c>
      <c r="B424" s="4" t="s">
        <v>1144</v>
      </c>
      <c r="C424" s="4" t="s">
        <v>105</v>
      </c>
      <c r="D424" s="4" t="s">
        <v>70</v>
      </c>
      <c r="E424" s="4" t="s">
        <v>203</v>
      </c>
      <c r="F424" s="4" t="n">
        <v>5</v>
      </c>
      <c r="G424" s="4" t="s">
        <v>1145</v>
      </c>
      <c r="H424" s="4" t="s">
        <v>73</v>
      </c>
      <c r="I424" s="4" t="s">
        <v>1146</v>
      </c>
      <c r="J424" s="6" t="n">
        <f aca="false">IFERROR(DATEVALUE(B424),"")</f>
        <v>45498</v>
      </c>
      <c r="K424" s="4" t="str">
        <f aca="false">IF(A424="","",PROPER(TRIM(C424)))</f>
        <v>Midwest</v>
      </c>
      <c r="L424" s="4" t="str">
        <f aca="false">IF(A424="","",PROPER(TRIM(D424)))</f>
        <v>Camping Gear</v>
      </c>
      <c r="M424" s="4" t="n">
        <f aca="false">IFERROR(VALUE(F424),0)</f>
        <v>5</v>
      </c>
      <c r="N424" s="7" t="n">
        <f aca="false">IFERROR(VALUE(SUBSTITUTE(G424,"$","")),0)</f>
        <v>212.17</v>
      </c>
      <c r="O424" s="4" t="n">
        <f aca="false">IF(A424="",0,IF(COUNTIF($A$2:A424,A424)&gt;1,1,0))</f>
        <v>0</v>
      </c>
      <c r="P424" s="4" t="n">
        <f aca="false">IF(AND(A424&lt;&gt;"",J424&lt;&gt;"",M424&gt;0,N424&gt;0,O424=0),1,0)</f>
        <v>1</v>
      </c>
      <c r="Q424" s="7" t="n">
        <f aca="false">IF(P424=1,M424*N424,0)</f>
        <v>1060.85</v>
      </c>
    </row>
    <row r="425" customFormat="false" ht="15" hidden="false" customHeight="false" outlineLevel="0" collapsed="false">
      <c r="A425" s="4" t="n">
        <v>10157</v>
      </c>
      <c r="B425" s="4" t="s">
        <v>1147</v>
      </c>
      <c r="C425" s="4" t="s">
        <v>149</v>
      </c>
      <c r="D425" s="4" t="s">
        <v>44</v>
      </c>
      <c r="E425" s="4" t="s">
        <v>210</v>
      </c>
      <c r="F425" s="4" t="n">
        <v>1</v>
      </c>
      <c r="G425" s="4" t="s">
        <v>1148</v>
      </c>
      <c r="H425" s="4" t="s">
        <v>54</v>
      </c>
      <c r="I425" s="4" t="s">
        <v>1149</v>
      </c>
      <c r="J425" s="6" t="n">
        <f aca="false">IFERROR(DATEVALUE(B425),"")</f>
        <v>45836</v>
      </c>
      <c r="K425" s="4" t="str">
        <f aca="false">IF(A425="","",PROPER(TRIM(C425)))</f>
        <v>East</v>
      </c>
      <c r="L425" s="4" t="str">
        <f aca="false">IF(A425="","",PROPER(TRIM(D425)))</f>
        <v>Accessories</v>
      </c>
      <c r="M425" s="4" t="n">
        <f aca="false">IFERROR(VALUE(F425),0)</f>
        <v>1</v>
      </c>
      <c r="N425" s="7" t="n">
        <f aca="false">IFERROR(VALUE(SUBSTITUTE(G425,"$","")),0)</f>
        <v>39.11</v>
      </c>
      <c r="O425" s="4" t="n">
        <f aca="false">IF(A425="",0,IF(COUNTIF($A$2:A425,A425)&gt;1,1,0))</f>
        <v>0</v>
      </c>
      <c r="P425" s="4" t="n">
        <f aca="false">IF(AND(A425&lt;&gt;"",J425&lt;&gt;"",M425&gt;0,N425&gt;0,O425=0),1,0)</f>
        <v>1</v>
      </c>
      <c r="Q425" s="7" t="n">
        <f aca="false">IF(P425=1,M425*N425,0)</f>
        <v>39.11</v>
      </c>
    </row>
    <row r="426" customFormat="false" ht="15" hidden="false" customHeight="false" outlineLevel="0" collapsed="false">
      <c r="A426" s="4" t="n">
        <v>10779</v>
      </c>
      <c r="B426" s="4" t="s">
        <v>1150</v>
      </c>
      <c r="C426" s="4" t="s">
        <v>149</v>
      </c>
      <c r="D426" s="4" t="s">
        <v>70</v>
      </c>
      <c r="E426" s="4" t="s">
        <v>71</v>
      </c>
      <c r="F426" s="4" t="n">
        <v>1</v>
      </c>
      <c r="G426" s="4" t="s">
        <v>1151</v>
      </c>
      <c r="H426" s="4" t="s">
        <v>47</v>
      </c>
      <c r="I426" s="4" t="s">
        <v>215</v>
      </c>
      <c r="J426" s="6" t="n">
        <f aca="false">IFERROR(DATEVALUE(B426),"")</f>
        <v>45736</v>
      </c>
      <c r="K426" s="4" t="str">
        <f aca="false">IF(A426="","",PROPER(TRIM(C426)))</f>
        <v>East</v>
      </c>
      <c r="L426" s="4" t="str">
        <f aca="false">IF(A426="","",PROPER(TRIM(D426)))</f>
        <v>Camping Gear</v>
      </c>
      <c r="M426" s="4" t="n">
        <f aca="false">IFERROR(VALUE(F426),0)</f>
        <v>1</v>
      </c>
      <c r="N426" s="7" t="n">
        <f aca="false">IFERROR(VALUE(SUBSTITUTE(G426,"$","")),0)</f>
        <v>60.59</v>
      </c>
      <c r="O426" s="4" t="n">
        <f aca="false">IF(A426="",0,IF(COUNTIF($A$2:A426,A426)&gt;1,1,0))</f>
        <v>0</v>
      </c>
      <c r="P426" s="4" t="n">
        <f aca="false">IF(AND(A426&lt;&gt;"",J426&lt;&gt;"",M426&gt;0,N426&gt;0,O426=0),1,0)</f>
        <v>1</v>
      </c>
      <c r="Q426" s="7" t="n">
        <f aca="false">IF(P426=1,M426*N426,0)</f>
        <v>60.59</v>
      </c>
    </row>
    <row r="427" customFormat="false" ht="15" hidden="false" customHeight="false" outlineLevel="0" collapsed="false">
      <c r="A427" s="4" t="n">
        <v>10651</v>
      </c>
      <c r="B427" s="4" t="s">
        <v>1035</v>
      </c>
      <c r="C427" s="4" t="s">
        <v>149</v>
      </c>
      <c r="D427" s="4" t="s">
        <v>179</v>
      </c>
      <c r="E427" s="4" t="s">
        <v>188</v>
      </c>
      <c r="F427" s="4" t="n">
        <v>3</v>
      </c>
      <c r="G427" s="4" t="s">
        <v>1152</v>
      </c>
      <c r="H427" s="4" t="s">
        <v>47</v>
      </c>
      <c r="I427" s="4" t="s">
        <v>452</v>
      </c>
      <c r="J427" s="6" t="n">
        <f aca="false">IFERROR(DATEVALUE(B427),"")</f>
        <v>45535</v>
      </c>
      <c r="K427" s="4" t="str">
        <f aca="false">IF(A427="","",PROPER(TRIM(C427)))</f>
        <v>East</v>
      </c>
      <c r="L427" s="4" t="str">
        <f aca="false">IF(A427="","",PROPER(TRIM(D427)))</f>
        <v>Climbing Gear</v>
      </c>
      <c r="M427" s="4" t="n">
        <f aca="false">IFERROR(VALUE(F427),0)</f>
        <v>3</v>
      </c>
      <c r="N427" s="7" t="n">
        <f aca="false">IFERROR(VALUE(SUBSTITUTE(G427,"$","")),0)</f>
        <v>22.89</v>
      </c>
      <c r="O427" s="4" t="n">
        <f aca="false">IF(A427="",0,IF(COUNTIF($A$2:A427,A427)&gt;1,1,0))</f>
        <v>0</v>
      </c>
      <c r="P427" s="4" t="n">
        <f aca="false">IF(AND(A427&lt;&gt;"",J427&lt;&gt;"",M427&gt;0,N427&gt;0,O427=0),1,0)</f>
        <v>1</v>
      </c>
      <c r="Q427" s="7" t="n">
        <f aca="false">IF(P427=1,M427*N427,0)</f>
        <v>68.67</v>
      </c>
    </row>
    <row r="428" customFormat="false" ht="15" hidden="false" customHeight="false" outlineLevel="0" collapsed="false">
      <c r="A428" s="4" t="n">
        <v>10155</v>
      </c>
      <c r="B428" s="4" t="s">
        <v>1153</v>
      </c>
      <c r="C428" s="4" t="s">
        <v>50</v>
      </c>
      <c r="D428" s="4" t="s">
        <v>333</v>
      </c>
      <c r="E428" s="4" t="s">
        <v>160</v>
      </c>
      <c r="F428" s="4" t="n">
        <v>1</v>
      </c>
      <c r="G428" s="4" t="s">
        <v>1154</v>
      </c>
      <c r="H428" s="4" t="s">
        <v>54</v>
      </c>
      <c r="I428" s="4" t="s">
        <v>319</v>
      </c>
      <c r="J428" s="6" t="n">
        <f aca="false">IFERROR(DATEVALUE(B428),"")</f>
        <v>45828</v>
      </c>
      <c r="K428" s="4" t="str">
        <f aca="false">IF(A428="","",PROPER(TRIM(C428)))</f>
        <v>Midwest</v>
      </c>
      <c r="L428" s="4" t="str">
        <f aca="false">IF(A428="","",PROPER(TRIM(D428)))</f>
        <v>Accessories</v>
      </c>
      <c r="M428" s="4" t="n">
        <f aca="false">IFERROR(VALUE(F428),0)</f>
        <v>1</v>
      </c>
      <c r="N428" s="7" t="n">
        <f aca="false">IFERROR(VALUE(SUBSTITUTE(G428,"$","")),0)</f>
        <v>26.43</v>
      </c>
      <c r="O428" s="4" t="n">
        <f aca="false">IF(A428="",0,IF(COUNTIF($A$2:A428,A428)&gt;1,1,0))</f>
        <v>0</v>
      </c>
      <c r="P428" s="4" t="n">
        <f aca="false">IF(AND(A428&lt;&gt;"",J428&lt;&gt;"",M428&gt;0,N428&gt;0,O428=0),1,0)</f>
        <v>1</v>
      </c>
      <c r="Q428" s="7" t="n">
        <f aca="false">IF(P428=1,M428*N428,0)</f>
        <v>26.43</v>
      </c>
    </row>
    <row r="429" customFormat="false" ht="15" hidden="false" customHeight="false" outlineLevel="0" collapsed="false">
      <c r="A429" s="4" t="n">
        <v>10104</v>
      </c>
      <c r="B429" s="4" t="s">
        <v>228</v>
      </c>
      <c r="C429" s="4" t="s">
        <v>332</v>
      </c>
      <c r="D429" s="4" t="s">
        <v>281</v>
      </c>
      <c r="E429" s="4" t="s">
        <v>448</v>
      </c>
      <c r="F429" s="4" t="n">
        <v>3</v>
      </c>
      <c r="G429" s="4" t="s">
        <v>1155</v>
      </c>
      <c r="H429" s="4" t="s">
        <v>47</v>
      </c>
      <c r="I429" s="4" t="s">
        <v>496</v>
      </c>
      <c r="J429" s="6" t="n">
        <f aca="false">IFERROR(DATEVALUE(B429),"")</f>
        <v>45686</v>
      </c>
      <c r="K429" s="4" t="str">
        <f aca="false">IF(A429="","",PROPER(TRIM(C429)))</f>
        <v>West</v>
      </c>
      <c r="L429" s="4" t="str">
        <f aca="false">IF(A429="","",PROPER(TRIM(D429)))</f>
        <v>Camping Gear</v>
      </c>
      <c r="M429" s="4" t="n">
        <f aca="false">IFERROR(VALUE(F429),0)</f>
        <v>3</v>
      </c>
      <c r="N429" s="7" t="n">
        <f aca="false">IFERROR(VALUE(SUBSTITUTE(G429,"$","")),0)</f>
        <v>215.1</v>
      </c>
      <c r="O429" s="4" t="n">
        <f aca="false">IF(A429="",0,IF(COUNTIF($A$2:A429,A429)&gt;1,1,0))</f>
        <v>0</v>
      </c>
      <c r="P429" s="4" t="n">
        <f aca="false">IF(AND(A429&lt;&gt;"",J429&lt;&gt;"",M429&gt;0,N429&gt;0,O429=0),1,0)</f>
        <v>1</v>
      </c>
      <c r="Q429" s="7" t="n">
        <f aca="false">IF(P429=1,M429*N429,0)</f>
        <v>645.3</v>
      </c>
    </row>
    <row r="430" customFormat="false" ht="15" hidden="false" customHeight="false" outlineLevel="0" collapsed="false">
      <c r="A430" s="4" t="n">
        <v>10421</v>
      </c>
      <c r="B430" s="4" t="s">
        <v>1156</v>
      </c>
      <c r="C430" s="4" t="s">
        <v>69</v>
      </c>
      <c r="D430" s="4" t="s">
        <v>217</v>
      </c>
      <c r="E430" s="4" t="s">
        <v>89</v>
      </c>
      <c r="F430" s="4" t="n">
        <v>1</v>
      </c>
      <c r="G430" s="4" t="s">
        <v>1157</v>
      </c>
      <c r="H430" s="4" t="s">
        <v>73</v>
      </c>
      <c r="I430" s="4" t="s">
        <v>1158</v>
      </c>
      <c r="J430" s="6" t="n">
        <f aca="false">IFERROR(DATEVALUE(B430),"")</f>
        <v>45834</v>
      </c>
      <c r="K430" s="4" t="str">
        <f aca="false">IF(A430="","",PROPER(TRIM(C430)))</f>
        <v>East</v>
      </c>
      <c r="L430" s="4" t="str">
        <f aca="false">IF(A430="","",PROPER(TRIM(D430)))</f>
        <v>Apparel</v>
      </c>
      <c r="M430" s="4" t="n">
        <f aca="false">IFERROR(VALUE(F430),0)</f>
        <v>1</v>
      </c>
      <c r="N430" s="7" t="n">
        <f aca="false">IFERROR(VALUE(SUBSTITUTE(G430,"$","")),0)</f>
        <v>55.32</v>
      </c>
      <c r="O430" s="4" t="n">
        <f aca="false">IF(A430="",0,IF(COUNTIF($A$2:A430,A430)&gt;1,1,0))</f>
        <v>0</v>
      </c>
      <c r="P430" s="4" t="n">
        <f aca="false">IF(AND(A430&lt;&gt;"",J430&lt;&gt;"",M430&gt;0,N430&gt;0,O430=0),1,0)</f>
        <v>1</v>
      </c>
      <c r="Q430" s="7" t="n">
        <f aca="false">IF(P430=1,M430*N430,0)</f>
        <v>55.32</v>
      </c>
    </row>
    <row r="431" customFormat="false" ht="15" hidden="false" customHeight="false" outlineLevel="0" collapsed="false">
      <c r="A431" s="4" t="n">
        <v>10578</v>
      </c>
      <c r="B431" s="4" t="s">
        <v>1159</v>
      </c>
      <c r="C431" s="4" t="s">
        <v>224</v>
      </c>
      <c r="D431" s="4" t="s">
        <v>58</v>
      </c>
      <c r="E431" s="4" t="s">
        <v>59</v>
      </c>
      <c r="F431" s="4" t="n">
        <v>3</v>
      </c>
      <c r="G431" s="4" t="s">
        <v>1160</v>
      </c>
      <c r="H431" s="4" t="s">
        <v>73</v>
      </c>
      <c r="I431" s="4" t="s">
        <v>176</v>
      </c>
      <c r="J431" s="6" t="n">
        <f aca="false">IFERROR(DATEVALUE(B431),"")</f>
        <v>45386</v>
      </c>
      <c r="K431" s="4" t="str">
        <f aca="false">IF(A431="","",PROPER(TRIM(C431)))</f>
        <v>East</v>
      </c>
      <c r="L431" s="4" t="str">
        <f aca="false">IF(A431="","",PROPER(TRIM(D431)))</f>
        <v>Climbing Gear</v>
      </c>
      <c r="M431" s="4" t="n">
        <f aca="false">IFERROR(VALUE(F431),0)</f>
        <v>3</v>
      </c>
      <c r="N431" s="7" t="n">
        <f aca="false">IFERROR(VALUE(SUBSTITUTE(G431,"$","")),0)</f>
        <v>39.72</v>
      </c>
      <c r="O431" s="4" t="n">
        <f aca="false">IF(A431="",0,IF(COUNTIF($A$2:A431,A431)&gt;1,1,0))</f>
        <v>0</v>
      </c>
      <c r="P431" s="4" t="n">
        <f aca="false">IF(AND(A431&lt;&gt;"",J431&lt;&gt;"",M431&gt;0,N431&gt;0,O431=0),1,0)</f>
        <v>1</v>
      </c>
      <c r="Q431" s="7" t="n">
        <f aca="false">IF(P431=1,M431*N431,0)</f>
        <v>119.16</v>
      </c>
    </row>
    <row r="432" customFormat="false" ht="15" hidden="false" customHeight="false" outlineLevel="0" collapsed="false">
      <c r="A432" s="4" t="n">
        <v>10270</v>
      </c>
      <c r="B432" s="4" t="s">
        <v>1161</v>
      </c>
      <c r="C432" s="4" t="s">
        <v>332</v>
      </c>
      <c r="D432" s="4" t="s">
        <v>387</v>
      </c>
      <c r="E432" s="4" t="s">
        <v>448</v>
      </c>
      <c r="F432" s="4" t="n">
        <v>3</v>
      </c>
      <c r="G432" s="4" t="s">
        <v>1162</v>
      </c>
      <c r="H432" s="4" t="s">
        <v>54</v>
      </c>
      <c r="I432" s="4" t="s">
        <v>352</v>
      </c>
      <c r="J432" s="6" t="n">
        <f aca="false">IFERROR(DATEVALUE(B432),"")</f>
        <v>45595</v>
      </c>
      <c r="K432" s="4" t="str">
        <f aca="false">IF(A432="","",PROPER(TRIM(C432)))</f>
        <v>West</v>
      </c>
      <c r="L432" s="4" t="str">
        <f aca="false">IF(A432="","",PROPER(TRIM(D432)))</f>
        <v>Camping Gear</v>
      </c>
      <c r="M432" s="4" t="n">
        <f aca="false">IFERROR(VALUE(F432),0)</f>
        <v>3</v>
      </c>
      <c r="N432" s="7" t="n">
        <f aca="false">IFERROR(VALUE(SUBSTITUTE(G432,"$","")),0)</f>
        <v>197.6</v>
      </c>
      <c r="O432" s="4" t="n">
        <f aca="false">IF(A432="",0,IF(COUNTIF($A$2:A432,A432)&gt;1,1,0))</f>
        <v>0</v>
      </c>
      <c r="P432" s="4" t="n">
        <f aca="false">IF(AND(A432&lt;&gt;"",J432&lt;&gt;"",M432&gt;0,N432&gt;0,O432=0),1,0)</f>
        <v>1</v>
      </c>
      <c r="Q432" s="7" t="n">
        <f aca="false">IF(P432=1,M432*N432,0)</f>
        <v>592.8</v>
      </c>
    </row>
    <row r="433" customFormat="false" ht="15" hidden="false" customHeight="false" outlineLevel="0" collapsed="false">
      <c r="A433" s="4" t="n">
        <v>10423</v>
      </c>
      <c r="B433" s="4" t="s">
        <v>1163</v>
      </c>
      <c r="C433" s="4" t="s">
        <v>43</v>
      </c>
      <c r="D433" s="4" t="s">
        <v>141</v>
      </c>
      <c r="E433" s="4" t="s">
        <v>142</v>
      </c>
      <c r="F433" s="4" t="n">
        <v>2</v>
      </c>
      <c r="G433" s="4" t="s">
        <v>1164</v>
      </c>
      <c r="H433" s="4" t="s">
        <v>54</v>
      </c>
      <c r="I433" s="4" t="s">
        <v>473</v>
      </c>
      <c r="J433" s="6" t="n">
        <f aca="false">IFERROR(DATEVALUE(B433),"")</f>
        <v>45765</v>
      </c>
      <c r="K433" s="4" t="str">
        <f aca="false">IF(A433="","",PROPER(TRIM(C433)))</f>
        <v>South</v>
      </c>
      <c r="L433" s="4" t="str">
        <f aca="false">IF(A433="","",PROPER(TRIM(D433)))</f>
        <v>Apparel</v>
      </c>
      <c r="M433" s="4" t="n">
        <f aca="false">IFERROR(VALUE(F433),0)</f>
        <v>2</v>
      </c>
      <c r="N433" s="7" t="n">
        <f aca="false">IFERROR(VALUE(SUBSTITUTE(G433,"$","")),0)</f>
        <v>188.7</v>
      </c>
      <c r="O433" s="4" t="n">
        <f aca="false">IF(A433="",0,IF(COUNTIF($A$2:A433,A433)&gt;1,1,0))</f>
        <v>0</v>
      </c>
      <c r="P433" s="4" t="n">
        <f aca="false">IF(AND(A433&lt;&gt;"",J433&lt;&gt;"",M433&gt;0,N433&gt;0,O433=0),1,0)</f>
        <v>1</v>
      </c>
      <c r="Q433" s="7" t="n">
        <f aca="false">IF(P433=1,M433*N433,0)</f>
        <v>377.4</v>
      </c>
    </row>
    <row r="434" customFormat="false" ht="15" hidden="false" customHeight="false" outlineLevel="0" collapsed="false">
      <c r="A434" s="4" t="n">
        <v>10295</v>
      </c>
      <c r="B434" s="4" t="s">
        <v>1165</v>
      </c>
      <c r="C434" s="4" t="s">
        <v>149</v>
      </c>
      <c r="D434" s="4" t="s">
        <v>64</v>
      </c>
      <c r="E434" s="4" t="s">
        <v>65</v>
      </c>
      <c r="F434" s="4" t="n">
        <v>2</v>
      </c>
      <c r="G434" s="4" t="s">
        <v>1166</v>
      </c>
      <c r="H434" s="4" t="s">
        <v>73</v>
      </c>
      <c r="I434" s="4" t="s">
        <v>1167</v>
      </c>
      <c r="J434" s="6" t="n">
        <f aca="false">IFERROR(DATEVALUE(B434),"")</f>
        <v>45772</v>
      </c>
      <c r="K434" s="4" t="str">
        <f aca="false">IF(A434="","",PROPER(TRIM(C434)))</f>
        <v>East</v>
      </c>
      <c r="L434" s="4" t="str">
        <f aca="false">IF(A434="","",PROPER(TRIM(D434)))</f>
        <v>Footwear</v>
      </c>
      <c r="M434" s="4" t="n">
        <f aca="false">IFERROR(VALUE(F434),0)</f>
        <v>2</v>
      </c>
      <c r="N434" s="7" t="n">
        <f aca="false">IFERROR(VALUE(SUBSTITUTE(G434,"$","")),0)</f>
        <v>54.46</v>
      </c>
      <c r="O434" s="4" t="n">
        <f aca="false">IF(A434="",0,IF(COUNTIF($A$2:A434,A434)&gt;1,1,0))</f>
        <v>0</v>
      </c>
      <c r="P434" s="4" t="n">
        <f aca="false">IF(AND(A434&lt;&gt;"",J434&lt;&gt;"",M434&gt;0,N434&gt;0,O434=0),1,0)</f>
        <v>1</v>
      </c>
      <c r="Q434" s="7" t="n">
        <f aca="false">IF(P434=1,M434*N434,0)</f>
        <v>108.92</v>
      </c>
    </row>
    <row r="435" customFormat="false" ht="15" hidden="false" customHeight="false" outlineLevel="0" collapsed="false">
      <c r="A435" s="4" t="n">
        <v>10669</v>
      </c>
      <c r="B435" s="4" t="s">
        <v>1168</v>
      </c>
      <c r="C435" s="4" t="s">
        <v>63</v>
      </c>
      <c r="D435" s="4" t="s">
        <v>575</v>
      </c>
      <c r="E435" s="4" t="s">
        <v>45</v>
      </c>
      <c r="F435" s="4" t="n">
        <v>1</v>
      </c>
      <c r="G435" s="4" t="s">
        <v>953</v>
      </c>
      <c r="H435" s="4" t="s">
        <v>47</v>
      </c>
      <c r="I435" s="4" t="s">
        <v>61</v>
      </c>
      <c r="J435" s="6" t="n">
        <f aca="false">IFERROR(DATEVALUE(B435),"")</f>
        <v>45582</v>
      </c>
      <c r="K435" s="4" t="str">
        <f aca="false">IF(A435="","",PROPER(TRIM(C435)))</f>
        <v>Midwest</v>
      </c>
      <c r="L435" s="4" t="str">
        <f aca="false">IF(A435="","",PROPER(TRIM(D435)))</f>
        <v>Accessories</v>
      </c>
      <c r="M435" s="4" t="n">
        <f aca="false">IFERROR(VALUE(F435),0)</f>
        <v>1</v>
      </c>
      <c r="N435" s="7" t="n">
        <f aca="false">IFERROR(VALUE(SUBSTITUTE(G435,"$","")),0)</f>
        <v>54.29</v>
      </c>
      <c r="O435" s="4" t="n">
        <f aca="false">IF(A435="",0,IF(COUNTIF($A$2:A435,A435)&gt;1,1,0))</f>
        <v>0</v>
      </c>
      <c r="P435" s="4" t="n">
        <f aca="false">IF(AND(A435&lt;&gt;"",J435&lt;&gt;"",M435&gt;0,N435&gt;0,O435=0),1,0)</f>
        <v>1</v>
      </c>
      <c r="Q435" s="7" t="n">
        <f aca="false">IF(P435=1,M435*N435,0)</f>
        <v>54.29</v>
      </c>
    </row>
    <row r="436" customFormat="false" ht="15" hidden="false" customHeight="false" outlineLevel="0" collapsed="false">
      <c r="A436" s="4" t="n">
        <v>10748</v>
      </c>
      <c r="B436" s="4" t="s">
        <v>1169</v>
      </c>
      <c r="C436" s="4" t="s">
        <v>435</v>
      </c>
      <c r="D436" s="4" t="s">
        <v>225</v>
      </c>
      <c r="E436" s="4" t="s">
        <v>210</v>
      </c>
      <c r="F436" s="4" t="n">
        <v>1</v>
      </c>
      <c r="G436" s="4" t="s">
        <v>1170</v>
      </c>
      <c r="H436" s="4" t="s">
        <v>73</v>
      </c>
      <c r="I436" s="4" t="s">
        <v>1171</v>
      </c>
      <c r="J436" s="6" t="n">
        <f aca="false">IFERROR(DATEVALUE(B436),"")</f>
        <v>45748</v>
      </c>
      <c r="K436" s="4" t="str">
        <f aca="false">IF(A436="","",PROPER(TRIM(C436)))</f>
        <v>Midwest</v>
      </c>
      <c r="L436" s="4" t="str">
        <f aca="false">IF(A436="","",PROPER(TRIM(D436)))</f>
        <v>Accessories</v>
      </c>
      <c r="M436" s="4" t="n">
        <f aca="false">IFERROR(VALUE(F436),0)</f>
        <v>1</v>
      </c>
      <c r="N436" s="7" t="n">
        <f aca="false">IFERROR(VALUE(SUBSTITUTE(G436,"$","")),0)</f>
        <v>37.67</v>
      </c>
      <c r="O436" s="4" t="n">
        <f aca="false">IF(A436="",0,IF(COUNTIF($A$2:A436,A436)&gt;1,1,0))</f>
        <v>0</v>
      </c>
      <c r="P436" s="4" t="n">
        <f aca="false">IF(AND(A436&lt;&gt;"",J436&lt;&gt;"",M436&gt;0,N436&gt;0,O436=0),1,0)</f>
        <v>1</v>
      </c>
      <c r="Q436" s="7" t="n">
        <f aca="false">IF(P436=1,M436*N436,0)</f>
        <v>37.67</v>
      </c>
    </row>
    <row r="437" customFormat="false" ht="15" hidden="false" customHeight="false" outlineLevel="0" collapsed="false">
      <c r="A437" s="4" t="n">
        <v>10247</v>
      </c>
      <c r="B437" s="4" t="s">
        <v>1147</v>
      </c>
      <c r="C437" s="4" t="s">
        <v>93</v>
      </c>
      <c r="D437" s="4" t="s">
        <v>101</v>
      </c>
      <c r="E437" s="4" t="s">
        <v>210</v>
      </c>
      <c r="F437" s="4" t="n">
        <v>5</v>
      </c>
      <c r="G437" s="4" t="s">
        <v>1172</v>
      </c>
      <c r="H437" s="4" t="s">
        <v>47</v>
      </c>
      <c r="I437" s="4" t="s">
        <v>761</v>
      </c>
      <c r="J437" s="6" t="n">
        <f aca="false">IFERROR(DATEVALUE(B437),"")</f>
        <v>45836</v>
      </c>
      <c r="K437" s="4" t="str">
        <f aca="false">IF(A437="","",PROPER(TRIM(C437)))</f>
        <v>West</v>
      </c>
      <c r="L437" s="4" t="str">
        <f aca="false">IF(A437="","",PROPER(TRIM(D437)))</f>
        <v>Accessories</v>
      </c>
      <c r="M437" s="4" t="n">
        <f aca="false">IFERROR(VALUE(F437),0)</f>
        <v>5</v>
      </c>
      <c r="N437" s="7" t="n">
        <f aca="false">IFERROR(VALUE(SUBSTITUTE(G437,"$","")),0)</f>
        <v>38.03</v>
      </c>
      <c r="O437" s="4" t="n">
        <f aca="false">IF(A437="",0,IF(COUNTIF($A$2:A437,A437)&gt;1,1,0))</f>
        <v>0</v>
      </c>
      <c r="P437" s="4" t="n">
        <f aca="false">IF(AND(A437&lt;&gt;"",J437&lt;&gt;"",M437&gt;0,N437&gt;0,O437=0),1,0)</f>
        <v>1</v>
      </c>
      <c r="Q437" s="7" t="n">
        <f aca="false">IF(P437=1,M437*N437,0)</f>
        <v>190.15</v>
      </c>
    </row>
    <row r="438" customFormat="false" ht="15" hidden="false" customHeight="false" outlineLevel="0" collapsed="false">
      <c r="A438" s="4" t="n">
        <v>10600</v>
      </c>
      <c r="B438" s="4" t="s">
        <v>1173</v>
      </c>
      <c r="C438" s="4" t="s">
        <v>69</v>
      </c>
      <c r="D438" s="4" t="s">
        <v>64</v>
      </c>
      <c r="E438" s="4" t="s">
        <v>151</v>
      </c>
      <c r="F438" s="4" t="n">
        <v>4</v>
      </c>
      <c r="G438" s="4" t="s">
        <v>1174</v>
      </c>
      <c r="H438" s="4" t="s">
        <v>47</v>
      </c>
      <c r="I438" s="4" t="s">
        <v>1175</v>
      </c>
      <c r="J438" s="6" t="n">
        <f aca="false">IFERROR(DATEVALUE(B438),"")</f>
        <v>45665</v>
      </c>
      <c r="K438" s="4" t="str">
        <f aca="false">IF(A438="","",PROPER(TRIM(C438)))</f>
        <v>East</v>
      </c>
      <c r="L438" s="4" t="str">
        <f aca="false">IF(A438="","",PROPER(TRIM(D438)))</f>
        <v>Footwear</v>
      </c>
      <c r="M438" s="4" t="n">
        <f aca="false">IFERROR(VALUE(F438),0)</f>
        <v>4</v>
      </c>
      <c r="N438" s="7" t="n">
        <f aca="false">IFERROR(VALUE(SUBSTITUTE(G438,"$","")),0)</f>
        <v>136.74</v>
      </c>
      <c r="O438" s="4" t="n">
        <f aca="false">IF(A438="",0,IF(COUNTIF($A$2:A438,A438)&gt;1,1,0))</f>
        <v>0</v>
      </c>
      <c r="P438" s="4" t="n">
        <f aca="false">IF(AND(A438&lt;&gt;"",J438&lt;&gt;"",M438&gt;0,N438&gt;0,O438=0),1,0)</f>
        <v>1</v>
      </c>
      <c r="Q438" s="7" t="n">
        <f aca="false">IF(P438=1,M438*N438,0)</f>
        <v>546.96</v>
      </c>
    </row>
    <row r="439" customFormat="false" ht="15" hidden="false" customHeight="false" outlineLevel="0" collapsed="false">
      <c r="A439" s="4" t="n">
        <v>10400</v>
      </c>
      <c r="B439" s="4" t="s">
        <v>1176</v>
      </c>
      <c r="C439" s="4" t="s">
        <v>133</v>
      </c>
      <c r="D439" s="4" t="s">
        <v>602</v>
      </c>
      <c r="E439" s="4" t="s">
        <v>188</v>
      </c>
      <c r="F439" s="4" t="n">
        <v>1</v>
      </c>
      <c r="G439" s="4" t="s">
        <v>1177</v>
      </c>
      <c r="H439" s="4" t="s">
        <v>47</v>
      </c>
      <c r="I439" s="4" t="s">
        <v>958</v>
      </c>
      <c r="J439" s="6" t="n">
        <f aca="false">IFERROR(DATEVALUE(B439),"")</f>
        <v>45739</v>
      </c>
      <c r="K439" s="4" t="str">
        <f aca="false">IF(A439="","",PROPER(TRIM(C439)))</f>
        <v>East</v>
      </c>
      <c r="L439" s="4" t="str">
        <f aca="false">IF(A439="","",PROPER(TRIM(D439)))</f>
        <v>Climbing Gear</v>
      </c>
      <c r="M439" s="4" t="n">
        <f aca="false">IFERROR(VALUE(F439),0)</f>
        <v>1</v>
      </c>
      <c r="N439" s="7" t="n">
        <f aca="false">IFERROR(VALUE(SUBSTITUTE(G439,"$","")),0)</f>
        <v>20.17</v>
      </c>
      <c r="O439" s="4" t="n">
        <f aca="false">IF(A439="",0,IF(COUNTIF($A$2:A439,A439)&gt;1,1,0))</f>
        <v>0</v>
      </c>
      <c r="P439" s="4" t="n">
        <f aca="false">IF(AND(A439&lt;&gt;"",J439&lt;&gt;"",M439&gt;0,N439&gt;0,O439=0),1,0)</f>
        <v>1</v>
      </c>
      <c r="Q439" s="7" t="n">
        <f aca="false">IF(P439=1,M439*N439,0)</f>
        <v>20.17</v>
      </c>
    </row>
    <row r="440" customFormat="false" ht="15" hidden="false" customHeight="false" outlineLevel="0" collapsed="false">
      <c r="A440" s="4" t="n">
        <v>10381</v>
      </c>
      <c r="B440" s="4" t="s">
        <v>216</v>
      </c>
      <c r="C440" s="4" t="s">
        <v>50</v>
      </c>
      <c r="D440" s="4" t="s">
        <v>64</v>
      </c>
      <c r="E440" s="4" t="s">
        <v>151</v>
      </c>
      <c r="F440" s="4" t="n">
        <v>1</v>
      </c>
      <c r="G440" s="4" t="s">
        <v>1178</v>
      </c>
      <c r="H440" s="4" t="s">
        <v>54</v>
      </c>
      <c r="I440" s="4" t="s">
        <v>349</v>
      </c>
      <c r="J440" s="6" t="str">
        <f aca="false">IFERROR(DATEVALUE(B440),"")</f>
        <v/>
      </c>
      <c r="K440" s="4" t="str">
        <f aca="false">IF(A440="","",PROPER(TRIM(C440)))</f>
        <v>Midwest</v>
      </c>
      <c r="L440" s="4" t="str">
        <f aca="false">IF(A440="","",PROPER(TRIM(D440)))</f>
        <v>Footwear</v>
      </c>
      <c r="M440" s="4" t="n">
        <f aca="false">IFERROR(VALUE(F440),0)</f>
        <v>1</v>
      </c>
      <c r="N440" s="7" t="n">
        <f aca="false">IFERROR(VALUE(SUBSTITUTE(G440,"$","")),0)</f>
        <v>150.89</v>
      </c>
      <c r="O440" s="4" t="n">
        <f aca="false">IF(A440="",0,IF(COUNTIF($A$2:A440,A440)&gt;1,1,0))</f>
        <v>0</v>
      </c>
      <c r="P440" s="4" t="n">
        <f aca="false">IF(AND(A440&lt;&gt;"",J440&lt;&gt;"",M440&gt;0,N440&gt;0,O440=0),1,0)</f>
        <v>0</v>
      </c>
      <c r="Q440" s="7" t="n">
        <f aca="false">IF(P440=1,M440*N440,0)</f>
        <v>0</v>
      </c>
    </row>
    <row r="441" customFormat="false" ht="15" hidden="false" customHeight="false" outlineLevel="0" collapsed="false">
      <c r="A441" s="4" t="n">
        <v>10774</v>
      </c>
      <c r="B441" s="4" t="s">
        <v>1179</v>
      </c>
      <c r="C441" s="4" t="s">
        <v>50</v>
      </c>
      <c r="D441" s="4" t="s">
        <v>156</v>
      </c>
      <c r="E441" s="4" t="s">
        <v>59</v>
      </c>
      <c r="F441" s="4" t="n">
        <v>3</v>
      </c>
      <c r="G441" s="4" t="s">
        <v>1180</v>
      </c>
      <c r="H441" s="4" t="s">
        <v>54</v>
      </c>
      <c r="I441" s="4" t="s">
        <v>1181</v>
      </c>
      <c r="J441" s="6" t="n">
        <f aca="false">IFERROR(DATEVALUE(B441),"")</f>
        <v>45749</v>
      </c>
      <c r="K441" s="4" t="str">
        <f aca="false">IF(A441="","",PROPER(TRIM(C441)))</f>
        <v>Midwest</v>
      </c>
      <c r="L441" s="4" t="str">
        <f aca="false">IF(A441="","",PROPER(TRIM(D441)))</f>
        <v>Climbing Gear</v>
      </c>
      <c r="M441" s="4" t="n">
        <f aca="false">IFERROR(VALUE(F441),0)</f>
        <v>3</v>
      </c>
      <c r="N441" s="7" t="n">
        <f aca="false">IFERROR(VALUE(SUBSTITUTE(G441,"$","")),0)</f>
        <v>37.25</v>
      </c>
      <c r="O441" s="4" t="n">
        <f aca="false">IF(A441="",0,IF(COUNTIF($A$2:A441,A441)&gt;1,1,0))</f>
        <v>0</v>
      </c>
      <c r="P441" s="4" t="n">
        <f aca="false">IF(AND(A441&lt;&gt;"",J441&lt;&gt;"",M441&gt;0,N441&gt;0,O441=0),1,0)</f>
        <v>1</v>
      </c>
      <c r="Q441" s="7" t="n">
        <f aca="false">IF(P441=1,M441*N441,0)</f>
        <v>111.75</v>
      </c>
    </row>
    <row r="442" customFormat="false" ht="15" hidden="false" customHeight="false" outlineLevel="0" collapsed="false">
      <c r="A442" s="4" t="n">
        <v>10208</v>
      </c>
      <c r="B442" s="4" t="s">
        <v>128</v>
      </c>
      <c r="C442" s="4" t="s">
        <v>178</v>
      </c>
      <c r="D442" s="4" t="s">
        <v>129</v>
      </c>
      <c r="E442" s="4" t="s">
        <v>94</v>
      </c>
      <c r="F442" s="4" t="n">
        <v>5</v>
      </c>
      <c r="G442" s="4" t="s">
        <v>1182</v>
      </c>
      <c r="H442" s="4" t="s">
        <v>73</v>
      </c>
      <c r="I442" s="4" t="s">
        <v>1183</v>
      </c>
      <c r="J442" s="6" t="n">
        <f aca="false">IFERROR(DATEVALUE(B442),"")</f>
        <v>45452</v>
      </c>
      <c r="K442" s="4" t="str">
        <f aca="false">IF(A442="","",PROPER(TRIM(C442)))</f>
        <v>South</v>
      </c>
      <c r="L442" s="4" t="str">
        <f aca="false">IF(A442="","",PROPER(TRIM(D442)))</f>
        <v>Climbing Gear</v>
      </c>
      <c r="M442" s="4" t="n">
        <f aca="false">IFERROR(VALUE(F442),0)</f>
        <v>5</v>
      </c>
      <c r="N442" s="7" t="n">
        <f aca="false">IFERROR(VALUE(SUBSTITUTE(G442,"$","")),0)</f>
        <v>183.24</v>
      </c>
      <c r="O442" s="4" t="n">
        <f aca="false">IF(A442="",0,IF(COUNTIF($A$2:A442,A442)&gt;1,1,0))</f>
        <v>0</v>
      </c>
      <c r="P442" s="4" t="n">
        <f aca="false">IF(AND(A442&lt;&gt;"",J442&lt;&gt;"",M442&gt;0,N442&gt;0,O442=0),1,0)</f>
        <v>1</v>
      </c>
      <c r="Q442" s="7" t="n">
        <f aca="false">IF(P442=1,M442*N442,0)</f>
        <v>916.2</v>
      </c>
    </row>
    <row r="443" customFormat="false" ht="15" hidden="false" customHeight="false" outlineLevel="0" collapsed="false">
      <c r="A443" s="4" t="n">
        <v>10268</v>
      </c>
      <c r="B443" s="4" t="s">
        <v>1184</v>
      </c>
      <c r="C443" s="4" t="s">
        <v>50</v>
      </c>
      <c r="D443" s="4" t="s">
        <v>58</v>
      </c>
      <c r="E443" s="4" t="s">
        <v>94</v>
      </c>
      <c r="F443" s="4" t="n">
        <v>1</v>
      </c>
      <c r="G443" s="4" t="s">
        <v>1185</v>
      </c>
      <c r="H443" s="4" t="s">
        <v>54</v>
      </c>
      <c r="I443" s="4" t="s">
        <v>433</v>
      </c>
      <c r="J443" s="6" t="n">
        <f aca="false">IFERROR(DATEVALUE(B443),"")</f>
        <v>45348</v>
      </c>
      <c r="K443" s="4" t="str">
        <f aca="false">IF(A443="","",PROPER(TRIM(C443)))</f>
        <v>Midwest</v>
      </c>
      <c r="L443" s="4" t="str">
        <f aca="false">IF(A443="","",PROPER(TRIM(D443)))</f>
        <v>Climbing Gear</v>
      </c>
      <c r="M443" s="4" t="n">
        <f aca="false">IFERROR(VALUE(F443),0)</f>
        <v>1</v>
      </c>
      <c r="N443" s="7" t="n">
        <f aca="false">IFERROR(VALUE(SUBSTITUTE(G443,"$","")),0)</f>
        <v>170.66</v>
      </c>
      <c r="O443" s="4" t="n">
        <f aca="false">IF(A443="",0,IF(COUNTIF($A$2:A443,A443)&gt;1,1,0))</f>
        <v>0</v>
      </c>
      <c r="P443" s="4" t="n">
        <f aca="false">IF(AND(A443&lt;&gt;"",J443&lt;&gt;"",M443&gt;0,N443&gt;0,O443=0),1,0)</f>
        <v>1</v>
      </c>
      <c r="Q443" s="7" t="n">
        <f aca="false">IF(P443=1,M443*N443,0)</f>
        <v>170.66</v>
      </c>
    </row>
    <row r="444" customFormat="false" ht="15" hidden="false" customHeight="false" outlineLevel="0" collapsed="false">
      <c r="A444" s="4" t="n">
        <v>10613</v>
      </c>
      <c r="B444" s="4" t="s">
        <v>1186</v>
      </c>
      <c r="C444" s="4" t="s">
        <v>133</v>
      </c>
      <c r="D444" s="4" t="s">
        <v>217</v>
      </c>
      <c r="E444" s="4" t="s">
        <v>89</v>
      </c>
      <c r="F444" s="4" t="n">
        <v>4</v>
      </c>
      <c r="G444" s="4" t="s">
        <v>1187</v>
      </c>
      <c r="H444" s="4" t="s">
        <v>47</v>
      </c>
      <c r="I444" s="4" t="s">
        <v>579</v>
      </c>
      <c r="J444" s="6" t="n">
        <f aca="false">IFERROR(DATEVALUE(B444),"")</f>
        <v>45440</v>
      </c>
      <c r="K444" s="4" t="str">
        <f aca="false">IF(A444="","",PROPER(TRIM(C444)))</f>
        <v>East</v>
      </c>
      <c r="L444" s="4" t="str">
        <f aca="false">IF(A444="","",PROPER(TRIM(D444)))</f>
        <v>Apparel</v>
      </c>
      <c r="M444" s="4" t="n">
        <f aca="false">IFERROR(VALUE(F444),0)</f>
        <v>4</v>
      </c>
      <c r="N444" s="7" t="n">
        <f aca="false">IFERROR(VALUE(SUBSTITUTE(G444,"$","")),0)</f>
        <v>66.16</v>
      </c>
      <c r="O444" s="4" t="n">
        <f aca="false">IF(A444="",0,IF(COUNTIF($A$2:A444,A444)&gt;1,1,0))</f>
        <v>0</v>
      </c>
      <c r="P444" s="4" t="n">
        <f aca="false">IF(AND(A444&lt;&gt;"",J444&lt;&gt;"",M444&gt;0,N444&gt;0,O444=0),1,0)</f>
        <v>1</v>
      </c>
      <c r="Q444" s="7" t="n">
        <f aca="false">IF(P444=1,M444*N444,0)</f>
        <v>264.64</v>
      </c>
    </row>
    <row r="445" customFormat="false" ht="15" hidden="false" customHeight="false" outlineLevel="0" collapsed="false">
      <c r="A445" s="4" t="n">
        <v>10064</v>
      </c>
      <c r="B445" s="4" t="s">
        <v>1188</v>
      </c>
      <c r="C445" s="4" t="s">
        <v>133</v>
      </c>
      <c r="D445" s="4" t="s">
        <v>76</v>
      </c>
      <c r="E445" s="4" t="s">
        <v>77</v>
      </c>
      <c r="F445" s="4" t="n">
        <v>1</v>
      </c>
      <c r="G445" s="4" t="s">
        <v>1189</v>
      </c>
      <c r="H445" s="4" t="s">
        <v>47</v>
      </c>
      <c r="I445" s="4" t="s">
        <v>923</v>
      </c>
      <c r="J445" s="6" t="n">
        <f aca="false">IFERROR(DATEVALUE(B445),"")</f>
        <v>45650</v>
      </c>
      <c r="K445" s="4" t="str">
        <f aca="false">IF(A445="","",PROPER(TRIM(C445)))</f>
        <v>East</v>
      </c>
      <c r="L445" s="4" t="str">
        <f aca="false">IF(A445="","",PROPER(TRIM(D445)))</f>
        <v>Footwear</v>
      </c>
      <c r="M445" s="4" t="n">
        <f aca="false">IFERROR(VALUE(F445),0)</f>
        <v>1</v>
      </c>
      <c r="N445" s="7" t="n">
        <f aca="false">IFERROR(VALUE(SUBSTITUTE(G445,"$","")),0)</f>
        <v>137.71</v>
      </c>
      <c r="O445" s="4" t="n">
        <f aca="false">IF(A445="",0,IF(COUNTIF($A$2:A445,A445)&gt;1,1,0))</f>
        <v>0</v>
      </c>
      <c r="P445" s="4" t="n">
        <f aca="false">IF(AND(A445&lt;&gt;"",J445&lt;&gt;"",M445&gt;0,N445&gt;0,O445=0),1,0)</f>
        <v>1</v>
      </c>
      <c r="Q445" s="7" t="n">
        <f aca="false">IF(P445=1,M445*N445,0)</f>
        <v>137.71</v>
      </c>
    </row>
    <row r="446" customFormat="false" ht="15" hidden="false" customHeight="false" outlineLevel="0" collapsed="false">
      <c r="A446" s="4" t="n">
        <v>10586</v>
      </c>
      <c r="B446" s="4" t="s">
        <v>119</v>
      </c>
      <c r="C446" s="4" t="s">
        <v>50</v>
      </c>
      <c r="D446" s="4" t="s">
        <v>141</v>
      </c>
      <c r="E446" s="4" t="s">
        <v>89</v>
      </c>
      <c r="F446" s="4" t="n">
        <v>3</v>
      </c>
      <c r="G446" s="4" t="s">
        <v>1190</v>
      </c>
      <c r="H446" s="4" t="s">
        <v>47</v>
      </c>
      <c r="I446" s="4" t="s">
        <v>699</v>
      </c>
      <c r="J446" s="6" t="n">
        <f aca="false">IFERROR(DATEVALUE(B446),"")</f>
        <v>45316</v>
      </c>
      <c r="K446" s="4" t="str">
        <f aca="false">IF(A446="","",PROPER(TRIM(C446)))</f>
        <v>Midwest</v>
      </c>
      <c r="L446" s="4" t="str">
        <f aca="false">IF(A446="","",PROPER(TRIM(D446)))</f>
        <v>Apparel</v>
      </c>
      <c r="M446" s="4" t="n">
        <f aca="false">IFERROR(VALUE(F446),0)</f>
        <v>3</v>
      </c>
      <c r="N446" s="7" t="n">
        <f aca="false">IFERROR(VALUE(SUBSTITUTE(G446,"$","")),0)</f>
        <v>59</v>
      </c>
      <c r="O446" s="4" t="n">
        <f aca="false">IF(A446="",0,IF(COUNTIF($A$2:A446,A446)&gt;1,1,0))</f>
        <v>0</v>
      </c>
      <c r="P446" s="4" t="n">
        <f aca="false">IF(AND(A446&lt;&gt;"",J446&lt;&gt;"",M446&gt;0,N446&gt;0,O446=0),1,0)</f>
        <v>1</v>
      </c>
      <c r="Q446" s="7" t="n">
        <f aca="false">IF(P446=1,M446*N446,0)</f>
        <v>177</v>
      </c>
    </row>
    <row r="447" customFormat="false" ht="15" hidden="false" customHeight="false" outlineLevel="0" collapsed="false">
      <c r="A447" s="4" t="n">
        <v>10116</v>
      </c>
      <c r="B447" s="4" t="s">
        <v>1191</v>
      </c>
      <c r="C447" s="4" t="s">
        <v>93</v>
      </c>
      <c r="D447" s="4" t="s">
        <v>88</v>
      </c>
      <c r="E447" s="4" t="s">
        <v>142</v>
      </c>
      <c r="F447" s="4" t="n">
        <v>2</v>
      </c>
      <c r="G447" s="4" t="s">
        <v>1192</v>
      </c>
      <c r="H447" s="4" t="s">
        <v>73</v>
      </c>
      <c r="I447" s="4" t="s">
        <v>476</v>
      </c>
      <c r="J447" s="6" t="n">
        <f aca="false">IFERROR(DATEVALUE(B447),"")</f>
        <v>45440</v>
      </c>
      <c r="K447" s="4" t="str">
        <f aca="false">IF(A447="","",PROPER(TRIM(C447)))</f>
        <v>West</v>
      </c>
      <c r="L447" s="4" t="str">
        <f aca="false">IF(A447="","",PROPER(TRIM(D447)))</f>
        <v>Apparel</v>
      </c>
      <c r="M447" s="4" t="n">
        <f aca="false">IFERROR(VALUE(F447),0)</f>
        <v>2</v>
      </c>
      <c r="N447" s="7" t="n">
        <f aca="false">IFERROR(VALUE(SUBSTITUTE(G447,"$","")),0)</f>
        <v>178.45</v>
      </c>
      <c r="O447" s="4" t="n">
        <f aca="false">IF(A447="",0,IF(COUNTIF($A$2:A447,A447)&gt;1,1,0))</f>
        <v>0</v>
      </c>
      <c r="P447" s="4" t="n">
        <f aca="false">IF(AND(A447&lt;&gt;"",J447&lt;&gt;"",M447&gt;0,N447&gt;0,O447=0),1,0)</f>
        <v>1</v>
      </c>
      <c r="Q447" s="7" t="n">
        <f aca="false">IF(P447=1,M447*N447,0)</f>
        <v>356.9</v>
      </c>
    </row>
    <row r="448" customFormat="false" ht="15" hidden="false" customHeight="false" outlineLevel="0" collapsed="false">
      <c r="A448" s="4" t="n">
        <v>10629</v>
      </c>
      <c r="B448" s="4" t="s">
        <v>1193</v>
      </c>
      <c r="C448" s="4" t="s">
        <v>183</v>
      </c>
      <c r="D448" s="4" t="s">
        <v>225</v>
      </c>
      <c r="E448" s="4" t="s">
        <v>52</v>
      </c>
      <c r="F448" s="4" t="n">
        <v>4</v>
      </c>
      <c r="G448" s="4" t="s">
        <v>1194</v>
      </c>
      <c r="H448" s="4" t="s">
        <v>54</v>
      </c>
      <c r="I448" s="4" t="s">
        <v>1195</v>
      </c>
      <c r="J448" s="6" t="n">
        <f aca="false">IFERROR(DATEVALUE(B448),"")</f>
        <v>45429</v>
      </c>
      <c r="K448" s="4" t="str">
        <f aca="false">IF(A448="","",PROPER(TRIM(C448)))</f>
        <v>West</v>
      </c>
      <c r="L448" s="4" t="str">
        <f aca="false">IF(A448="","",PROPER(TRIM(D448)))</f>
        <v>Accessories</v>
      </c>
      <c r="M448" s="4" t="n">
        <f aca="false">IFERROR(VALUE(F448),0)</f>
        <v>4</v>
      </c>
      <c r="N448" s="7" t="n">
        <f aca="false">IFERROR(VALUE(SUBSTITUTE(G448,"$","")),0)</f>
        <v>78.49</v>
      </c>
      <c r="O448" s="4" t="n">
        <f aca="false">IF(A448="",0,IF(COUNTIF($A$2:A448,A448)&gt;1,1,0))</f>
        <v>0</v>
      </c>
      <c r="P448" s="4" t="n">
        <f aca="false">IF(AND(A448&lt;&gt;"",J448&lt;&gt;"",M448&gt;0,N448&gt;0,O448=0),1,0)</f>
        <v>1</v>
      </c>
      <c r="Q448" s="7" t="n">
        <f aca="false">IF(P448=1,M448*N448,0)</f>
        <v>313.96</v>
      </c>
    </row>
    <row r="449" customFormat="false" ht="15" hidden="false" customHeight="false" outlineLevel="0" collapsed="false">
      <c r="A449" s="4" t="n">
        <v>10731</v>
      </c>
      <c r="B449" s="4" t="s">
        <v>1196</v>
      </c>
      <c r="C449" s="4" t="s">
        <v>50</v>
      </c>
      <c r="D449" s="4" t="s">
        <v>51</v>
      </c>
      <c r="E449" s="4" t="s">
        <v>210</v>
      </c>
      <c r="F449" s="4" t="n">
        <v>1</v>
      </c>
      <c r="G449" s="4" t="s">
        <v>1197</v>
      </c>
      <c r="H449" s="4" t="s">
        <v>73</v>
      </c>
      <c r="I449" s="4" t="s">
        <v>274</v>
      </c>
      <c r="J449" s="6" t="n">
        <f aca="false">IFERROR(DATEVALUE(B449),"")</f>
        <v>45794</v>
      </c>
      <c r="K449" s="4" t="str">
        <f aca="false">IF(A449="","",PROPER(TRIM(C449)))</f>
        <v>Midwest</v>
      </c>
      <c r="L449" s="4" t="str">
        <f aca="false">IF(A449="","",PROPER(TRIM(D449)))</f>
        <v>Accessories</v>
      </c>
      <c r="M449" s="4" t="n">
        <f aca="false">IFERROR(VALUE(F449),0)</f>
        <v>1</v>
      </c>
      <c r="N449" s="7" t="n">
        <f aca="false">IFERROR(VALUE(SUBSTITUTE(G449,"$","")),0)</f>
        <v>33.98</v>
      </c>
      <c r="O449" s="4" t="n">
        <f aca="false">IF(A449="",0,IF(COUNTIF($A$2:A449,A449)&gt;1,1,0))</f>
        <v>0</v>
      </c>
      <c r="P449" s="4" t="n">
        <f aca="false">IF(AND(A449&lt;&gt;"",J449&lt;&gt;"",M449&gt;0,N449&gt;0,O449=0),1,0)</f>
        <v>1</v>
      </c>
      <c r="Q449" s="7" t="n">
        <f aca="false">IF(P449=1,M449*N449,0)</f>
        <v>33.98</v>
      </c>
    </row>
    <row r="450" customFormat="false" ht="15" hidden="false" customHeight="false" outlineLevel="0" collapsed="false">
      <c r="A450" s="4" t="n">
        <v>10233</v>
      </c>
      <c r="B450" s="4" t="s">
        <v>311</v>
      </c>
      <c r="C450" s="4" t="s">
        <v>57</v>
      </c>
      <c r="D450" s="4" t="s">
        <v>171</v>
      </c>
      <c r="E450" s="4" t="s">
        <v>251</v>
      </c>
      <c r="F450" s="4" t="n">
        <v>1</v>
      </c>
      <c r="G450" s="4" t="s">
        <v>1198</v>
      </c>
      <c r="H450" s="4" t="s">
        <v>54</v>
      </c>
      <c r="I450" s="4" t="s">
        <v>1199</v>
      </c>
      <c r="J450" s="6" t="n">
        <f aca="false">IFERROR(DATEVALUE(B450),"")</f>
        <v>45450</v>
      </c>
      <c r="K450" s="4" t="str">
        <f aca="false">IF(A450="","",PROPER(TRIM(C450)))</f>
        <v>West</v>
      </c>
      <c r="L450" s="4" t="str">
        <f aca="false">IF(A450="","",PROPER(TRIM(D450)))</f>
        <v>Camping Gear</v>
      </c>
      <c r="M450" s="4" t="n">
        <f aca="false">IFERROR(VALUE(F450),0)</f>
        <v>1</v>
      </c>
      <c r="N450" s="7" t="n">
        <f aca="false">IFERROR(VALUE(SUBSTITUTE(G450,"$","")),0)</f>
        <v>85.71</v>
      </c>
      <c r="O450" s="4" t="n">
        <f aca="false">IF(A450="",0,IF(COUNTIF($A$2:A450,A450)&gt;1,1,0))</f>
        <v>0</v>
      </c>
      <c r="P450" s="4" t="n">
        <f aca="false">IF(AND(A450&lt;&gt;"",J450&lt;&gt;"",M450&gt;0,N450&gt;0,O450=0),1,0)</f>
        <v>1</v>
      </c>
      <c r="Q450" s="7" t="n">
        <f aca="false">IF(P450=1,M450*N450,0)</f>
        <v>85.71</v>
      </c>
    </row>
    <row r="451" customFormat="false" ht="15" hidden="false" customHeight="false" outlineLevel="0" collapsed="false">
      <c r="A451" s="4" t="n">
        <v>10196</v>
      </c>
      <c r="B451" s="4" t="s">
        <v>1200</v>
      </c>
      <c r="C451" s="4" t="s">
        <v>110</v>
      </c>
      <c r="D451" s="4" t="s">
        <v>106</v>
      </c>
      <c r="E451" s="4" t="s">
        <v>65</v>
      </c>
      <c r="F451" s="4" t="n">
        <v>3</v>
      </c>
      <c r="G451" s="4" t="s">
        <v>1201</v>
      </c>
      <c r="H451" s="4" t="s">
        <v>47</v>
      </c>
      <c r="I451" s="4" t="s">
        <v>1023</v>
      </c>
      <c r="J451" s="6" t="n">
        <f aca="false">IFERROR(DATEVALUE(B451),"")</f>
        <v>45785</v>
      </c>
      <c r="K451" s="4" t="str">
        <f aca="false">IF(A451="","",PROPER(TRIM(C451)))</f>
        <v>Midwest</v>
      </c>
      <c r="L451" s="4" t="str">
        <f aca="false">IF(A451="","",PROPER(TRIM(D451)))</f>
        <v>Footwear</v>
      </c>
      <c r="M451" s="4" t="n">
        <f aca="false">IFERROR(VALUE(F451),0)</f>
        <v>3</v>
      </c>
      <c r="N451" s="7" t="n">
        <f aca="false">IFERROR(VALUE(SUBSTITUTE(G451,"$","")),0)</f>
        <v>58.73</v>
      </c>
      <c r="O451" s="4" t="n">
        <f aca="false">IF(A451="",0,IF(COUNTIF($A$2:A451,A451)&gt;1,1,0))</f>
        <v>0</v>
      </c>
      <c r="P451" s="4" t="n">
        <f aca="false">IF(AND(A451&lt;&gt;"",J451&lt;&gt;"",M451&gt;0,N451&gt;0,O451=0),1,0)</f>
        <v>1</v>
      </c>
      <c r="Q451" s="7" t="n">
        <f aca="false">IF(P451=1,M451*N451,0)</f>
        <v>176.19</v>
      </c>
    </row>
    <row r="452" customFormat="false" ht="15" hidden="false" customHeight="false" outlineLevel="0" collapsed="false">
      <c r="A452" s="4" t="n">
        <v>10409</v>
      </c>
      <c r="B452" s="4" t="s">
        <v>1202</v>
      </c>
      <c r="C452" s="4" t="s">
        <v>120</v>
      </c>
      <c r="D452" s="4" t="s">
        <v>171</v>
      </c>
      <c r="E452" s="4" t="s">
        <v>203</v>
      </c>
      <c r="F452" s="4" t="n">
        <v>1</v>
      </c>
      <c r="G452" s="4" t="s">
        <v>1203</v>
      </c>
      <c r="H452" s="4" t="s">
        <v>54</v>
      </c>
      <c r="I452" s="4" t="s">
        <v>238</v>
      </c>
      <c r="J452" s="6" t="n">
        <f aca="false">IFERROR(DATEVALUE(B452),"")</f>
        <v>45669</v>
      </c>
      <c r="K452" s="4" t="str">
        <f aca="false">IF(A452="","",PROPER(TRIM(C452)))</f>
        <v>East</v>
      </c>
      <c r="L452" s="4" t="str">
        <f aca="false">IF(A452="","",PROPER(TRIM(D452)))</f>
        <v>Camping Gear</v>
      </c>
      <c r="M452" s="4" t="n">
        <f aca="false">IFERROR(VALUE(F452),0)</f>
        <v>1</v>
      </c>
      <c r="N452" s="7" t="n">
        <f aca="false">IFERROR(VALUE(SUBSTITUTE(G452,"$","")),0)</f>
        <v>240.85</v>
      </c>
      <c r="O452" s="4" t="n">
        <f aca="false">IF(A452="",0,IF(COUNTIF($A$2:A452,A452)&gt;1,1,0))</f>
        <v>0</v>
      </c>
      <c r="P452" s="4" t="n">
        <f aca="false">IF(AND(A452&lt;&gt;"",J452&lt;&gt;"",M452&gt;0,N452&gt;0,O452=0),1,0)</f>
        <v>1</v>
      </c>
      <c r="Q452" s="7" t="n">
        <f aca="false">IF(P452=1,M452*N452,0)</f>
        <v>240.85</v>
      </c>
    </row>
    <row r="453" customFormat="false" ht="15" hidden="false" customHeight="false" outlineLevel="0" collapsed="false">
      <c r="A453" s="4" t="n">
        <v>10725</v>
      </c>
      <c r="B453" s="4" t="s">
        <v>1204</v>
      </c>
      <c r="C453" s="4" t="s">
        <v>332</v>
      </c>
      <c r="D453" s="4" t="s">
        <v>387</v>
      </c>
      <c r="E453" s="4" t="s">
        <v>71</v>
      </c>
      <c r="F453" s="4" t="n">
        <v>1</v>
      </c>
      <c r="G453" s="4" t="s">
        <v>1205</v>
      </c>
      <c r="H453" s="4" t="s">
        <v>47</v>
      </c>
      <c r="I453" s="4" t="s">
        <v>1206</v>
      </c>
      <c r="J453" s="6" t="n">
        <f aca="false">IFERROR(DATEVALUE(B453),"")</f>
        <v>45313</v>
      </c>
      <c r="K453" s="4" t="str">
        <f aca="false">IF(A453="","",PROPER(TRIM(C453)))</f>
        <v>West</v>
      </c>
      <c r="L453" s="4" t="str">
        <f aca="false">IF(A453="","",PROPER(TRIM(D453)))</f>
        <v>Camping Gear</v>
      </c>
      <c r="M453" s="4" t="n">
        <f aca="false">IFERROR(VALUE(F453),0)</f>
        <v>1</v>
      </c>
      <c r="N453" s="7" t="n">
        <f aca="false">IFERROR(VALUE(SUBSTITUTE(G453,"$","")),0)</f>
        <v>62.47</v>
      </c>
      <c r="O453" s="4" t="n">
        <f aca="false">IF(A453="",0,IF(COUNTIF($A$2:A453,A453)&gt;1,1,0))</f>
        <v>0</v>
      </c>
      <c r="P453" s="4" t="n">
        <f aca="false">IF(AND(A453&lt;&gt;"",J453&lt;&gt;"",M453&gt;0,N453&gt;0,O453=0),1,0)</f>
        <v>1</v>
      </c>
      <c r="Q453" s="7" t="n">
        <f aca="false">IF(P453=1,M453*N453,0)</f>
        <v>62.47</v>
      </c>
    </row>
    <row r="454" customFormat="false" ht="15" hidden="false" customHeight="false" outlineLevel="0" collapsed="false">
      <c r="A454" s="4" t="n">
        <v>10285</v>
      </c>
      <c r="B454" s="4" t="s">
        <v>1207</v>
      </c>
      <c r="C454" s="4" t="s">
        <v>57</v>
      </c>
      <c r="D454" s="4" t="s">
        <v>250</v>
      </c>
      <c r="E454" s="4" t="s">
        <v>203</v>
      </c>
      <c r="F454" s="4" t="n">
        <v>1</v>
      </c>
      <c r="G454" s="4" t="s">
        <v>1208</v>
      </c>
      <c r="H454" s="4" t="s">
        <v>73</v>
      </c>
      <c r="I454" s="4" t="s">
        <v>741</v>
      </c>
      <c r="J454" s="6" t="n">
        <f aca="false">IFERROR(DATEVALUE(B454),"")</f>
        <v>45399</v>
      </c>
      <c r="K454" s="4" t="str">
        <f aca="false">IF(A454="","",PROPER(TRIM(C454)))</f>
        <v>West</v>
      </c>
      <c r="L454" s="4" t="str">
        <f aca="false">IF(A454="","",PROPER(TRIM(D454)))</f>
        <v>Camping Gear</v>
      </c>
      <c r="M454" s="4" t="n">
        <f aca="false">IFERROR(VALUE(F454),0)</f>
        <v>1</v>
      </c>
      <c r="N454" s="7" t="n">
        <f aca="false">IFERROR(VALUE(SUBSTITUTE(G454,"$","")),0)</f>
        <v>227.25</v>
      </c>
      <c r="O454" s="4" t="n">
        <f aca="false">IF(A454="",0,IF(COUNTIF($A$2:A454,A454)&gt;1,1,0))</f>
        <v>0</v>
      </c>
      <c r="P454" s="4" t="n">
        <f aca="false">IF(AND(A454&lt;&gt;"",J454&lt;&gt;"",M454&gt;0,N454&gt;0,O454=0),1,0)</f>
        <v>1</v>
      </c>
      <c r="Q454" s="7" t="n">
        <f aca="false">IF(P454=1,M454*N454,0)</f>
        <v>227.25</v>
      </c>
    </row>
    <row r="455" customFormat="false" ht="15" hidden="false" customHeight="false" outlineLevel="0" collapsed="false">
      <c r="A455" s="4" t="n">
        <v>10681</v>
      </c>
      <c r="B455" s="4" t="s">
        <v>1209</v>
      </c>
      <c r="C455" s="4" t="s">
        <v>105</v>
      </c>
      <c r="D455" s="4" t="s">
        <v>281</v>
      </c>
      <c r="E455" s="4" t="s">
        <v>203</v>
      </c>
      <c r="F455" s="4" t="n">
        <v>1</v>
      </c>
      <c r="G455" s="4" t="s">
        <v>1210</v>
      </c>
      <c r="H455" s="4" t="s">
        <v>54</v>
      </c>
      <c r="I455" s="4" t="s">
        <v>1211</v>
      </c>
      <c r="J455" s="6" t="n">
        <f aca="false">IFERROR(DATEVALUE(B455),"")</f>
        <v>45638</v>
      </c>
      <c r="K455" s="4" t="str">
        <f aca="false">IF(A455="","",PROPER(TRIM(C455)))</f>
        <v>Midwest</v>
      </c>
      <c r="L455" s="4" t="str">
        <f aca="false">IF(A455="","",PROPER(TRIM(D455)))</f>
        <v>Camping Gear</v>
      </c>
      <c r="M455" s="4" t="n">
        <f aca="false">IFERROR(VALUE(F455),0)</f>
        <v>1</v>
      </c>
      <c r="N455" s="7" t="n">
        <f aca="false">IFERROR(VALUE(SUBSTITUTE(G455,"$","")),0)</f>
        <v>218.28</v>
      </c>
      <c r="O455" s="4" t="n">
        <f aca="false">IF(A455="",0,IF(COUNTIF($A$2:A455,A455)&gt;1,1,0))</f>
        <v>0</v>
      </c>
      <c r="P455" s="4" t="n">
        <f aca="false">IF(AND(A455&lt;&gt;"",J455&lt;&gt;"",M455&gt;0,N455&gt;0,O455=0),1,0)</f>
        <v>1</v>
      </c>
      <c r="Q455" s="7" t="n">
        <f aca="false">IF(P455=1,M455*N455,0)</f>
        <v>218.28</v>
      </c>
    </row>
    <row r="456" customFormat="false" ht="15" hidden="false" customHeight="false" outlineLevel="0" collapsed="false">
      <c r="A456" s="4" t="n">
        <v>10359</v>
      </c>
      <c r="B456" s="4" t="s">
        <v>1212</v>
      </c>
      <c r="C456" s="4" t="s">
        <v>140</v>
      </c>
      <c r="D456" s="4" t="s">
        <v>171</v>
      </c>
      <c r="E456" s="4" t="s">
        <v>251</v>
      </c>
      <c r="F456" s="4" t="n">
        <v>1</v>
      </c>
      <c r="G456" s="4" t="s">
        <v>1213</v>
      </c>
      <c r="H456" s="4" t="s">
        <v>54</v>
      </c>
      <c r="I456" s="4" t="s">
        <v>1214</v>
      </c>
      <c r="J456" s="6" t="n">
        <f aca="false">IFERROR(DATEVALUE(B456),"")</f>
        <v>45435</v>
      </c>
      <c r="K456" s="4" t="str">
        <f aca="false">IF(A456="","",PROPER(TRIM(C456)))</f>
        <v>South</v>
      </c>
      <c r="L456" s="4" t="str">
        <f aca="false">IF(A456="","",PROPER(TRIM(D456)))</f>
        <v>Camping Gear</v>
      </c>
      <c r="M456" s="4" t="n">
        <f aca="false">IFERROR(VALUE(F456),0)</f>
        <v>1</v>
      </c>
      <c r="N456" s="7" t="n">
        <f aca="false">IFERROR(VALUE(SUBSTITUTE(G456,"$","")),0)</f>
        <v>91.18</v>
      </c>
      <c r="O456" s="4" t="n">
        <f aca="false">IF(A456="",0,IF(COUNTIF($A$2:A456,A456)&gt;1,1,0))</f>
        <v>0</v>
      </c>
      <c r="P456" s="4" t="n">
        <f aca="false">IF(AND(A456&lt;&gt;"",J456&lt;&gt;"",M456&gt;0,N456&gt;0,O456=0),1,0)</f>
        <v>1</v>
      </c>
      <c r="Q456" s="7" t="n">
        <f aca="false">IF(P456=1,M456*N456,0)</f>
        <v>91.18</v>
      </c>
    </row>
    <row r="457" customFormat="false" ht="15" hidden="false" customHeight="false" outlineLevel="0" collapsed="false">
      <c r="A457" s="4" t="n">
        <v>10705</v>
      </c>
      <c r="B457" s="4" t="s">
        <v>1215</v>
      </c>
      <c r="C457" s="4" t="s">
        <v>120</v>
      </c>
      <c r="D457" s="4" t="s">
        <v>217</v>
      </c>
      <c r="E457" s="4" t="s">
        <v>142</v>
      </c>
      <c r="F457" s="4" t="n">
        <v>1</v>
      </c>
      <c r="G457" s="4" t="s">
        <v>1216</v>
      </c>
      <c r="H457" s="4" t="s">
        <v>54</v>
      </c>
      <c r="I457" s="4" t="s">
        <v>1217</v>
      </c>
      <c r="J457" s="6" t="n">
        <f aca="false">IFERROR(DATEVALUE(B457),"")</f>
        <v>45477</v>
      </c>
      <c r="K457" s="4" t="str">
        <f aca="false">IF(A457="","",PROPER(TRIM(C457)))</f>
        <v>East</v>
      </c>
      <c r="L457" s="4" t="str">
        <f aca="false">IF(A457="","",PROPER(TRIM(D457)))</f>
        <v>Apparel</v>
      </c>
      <c r="M457" s="4" t="n">
        <f aca="false">IFERROR(VALUE(F457),0)</f>
        <v>1</v>
      </c>
      <c r="N457" s="7" t="n">
        <f aca="false">IFERROR(VALUE(SUBSTITUTE(G457,"$","")),0)</f>
        <v>200.22</v>
      </c>
      <c r="O457" s="4" t="n">
        <f aca="false">IF(A457="",0,IF(COUNTIF($A$2:A457,A457)&gt;1,1,0))</f>
        <v>0</v>
      </c>
      <c r="P457" s="4" t="n">
        <f aca="false">IF(AND(A457&lt;&gt;"",J457&lt;&gt;"",M457&gt;0,N457&gt;0,O457=0),1,0)</f>
        <v>1</v>
      </c>
      <c r="Q457" s="7" t="n">
        <f aca="false">IF(P457=1,M457*N457,0)</f>
        <v>200.22</v>
      </c>
    </row>
    <row r="458" customFormat="false" ht="15" hidden="false" customHeight="false" outlineLevel="0" collapsed="false">
      <c r="A458" s="4" t="n">
        <v>10368</v>
      </c>
      <c r="B458" s="4" t="s">
        <v>1218</v>
      </c>
      <c r="C458" s="4" t="s">
        <v>315</v>
      </c>
      <c r="D458" s="4" t="s">
        <v>64</v>
      </c>
      <c r="E458" s="4" t="s">
        <v>151</v>
      </c>
      <c r="F458" s="4" t="n">
        <v>2</v>
      </c>
      <c r="G458" s="4" t="s">
        <v>1219</v>
      </c>
      <c r="H458" s="4" t="s">
        <v>47</v>
      </c>
      <c r="I458" s="4" t="s">
        <v>870</v>
      </c>
      <c r="J458" s="6" t="n">
        <f aca="false">IFERROR(DATEVALUE(B458),"")</f>
        <v>45367</v>
      </c>
      <c r="K458" s="4" t="str">
        <f aca="false">IF(A458="","",PROPER(TRIM(C458)))</f>
        <v>South</v>
      </c>
      <c r="L458" s="4" t="str">
        <f aca="false">IF(A458="","",PROPER(TRIM(D458)))</f>
        <v>Footwear</v>
      </c>
      <c r="M458" s="4" t="n">
        <f aca="false">IFERROR(VALUE(F458),0)</f>
        <v>2</v>
      </c>
      <c r="N458" s="7" t="n">
        <f aca="false">IFERROR(VALUE(SUBSTITUTE(G458,"$","")),0)</f>
        <v>163.28</v>
      </c>
      <c r="O458" s="4" t="n">
        <f aca="false">IF(A458="",0,IF(COUNTIF($A$2:A458,A458)&gt;1,1,0))</f>
        <v>0</v>
      </c>
      <c r="P458" s="4" t="n">
        <f aca="false">IF(AND(A458&lt;&gt;"",J458&lt;&gt;"",M458&gt;0,N458&gt;0,O458=0),1,0)</f>
        <v>1</v>
      </c>
      <c r="Q458" s="7" t="n">
        <f aca="false">IF(P458=1,M458*N458,0)</f>
        <v>326.56</v>
      </c>
    </row>
    <row r="459" customFormat="false" ht="15" hidden="false" customHeight="false" outlineLevel="0" collapsed="false">
      <c r="A459" s="4" t="n">
        <v>10125</v>
      </c>
      <c r="B459" s="4" t="s">
        <v>1220</v>
      </c>
      <c r="C459" s="4" t="s">
        <v>155</v>
      </c>
      <c r="D459" s="4" t="s">
        <v>81</v>
      </c>
      <c r="E459" s="4" t="s">
        <v>77</v>
      </c>
      <c r="F459" s="4" t="n">
        <v>4</v>
      </c>
      <c r="G459" s="4" t="s">
        <v>1221</v>
      </c>
      <c r="H459" s="4" t="s">
        <v>73</v>
      </c>
      <c r="I459" s="4" t="s">
        <v>415</v>
      </c>
      <c r="J459" s="6" t="n">
        <f aca="false">IFERROR(DATEVALUE(B459),"")</f>
        <v>45670</v>
      </c>
      <c r="K459" s="4" t="str">
        <f aca="false">IF(A459="","",PROPER(TRIM(C459)))</f>
        <v>South</v>
      </c>
      <c r="L459" s="4" t="str">
        <f aca="false">IF(A459="","",PROPER(TRIM(D459)))</f>
        <v>Footwear</v>
      </c>
      <c r="M459" s="4" t="n">
        <f aca="false">IFERROR(VALUE(F459),0)</f>
        <v>4</v>
      </c>
      <c r="N459" s="7" t="n">
        <f aca="false">IFERROR(VALUE(SUBSTITUTE(G459,"$","")),0)</f>
        <v>118.65</v>
      </c>
      <c r="O459" s="4" t="n">
        <f aca="false">IF(A459="",0,IF(COUNTIF($A$2:A459,A459)&gt;1,1,0))</f>
        <v>0</v>
      </c>
      <c r="P459" s="4" t="n">
        <f aca="false">IF(AND(A459&lt;&gt;"",J459&lt;&gt;"",M459&gt;0,N459&gt;0,O459=0),1,0)</f>
        <v>1</v>
      </c>
      <c r="Q459" s="7" t="n">
        <f aca="false">IF(P459=1,M459*N459,0)</f>
        <v>474.6</v>
      </c>
    </row>
    <row r="460" customFormat="false" ht="15" hidden="false" customHeight="false" outlineLevel="0" collapsed="false">
      <c r="A460" s="4" t="n">
        <v>10091</v>
      </c>
      <c r="B460" s="4" t="s">
        <v>1222</v>
      </c>
      <c r="C460" s="4" t="s">
        <v>50</v>
      </c>
      <c r="D460" s="4" t="s">
        <v>333</v>
      </c>
      <c r="E460" s="4" t="s">
        <v>210</v>
      </c>
      <c r="F460" s="4" t="n">
        <v>4</v>
      </c>
      <c r="G460" s="4" t="s">
        <v>1223</v>
      </c>
      <c r="H460" s="4" t="s">
        <v>47</v>
      </c>
      <c r="I460" s="4" t="s">
        <v>1224</v>
      </c>
      <c r="J460" s="6" t="n">
        <f aca="false">IFERROR(DATEVALUE(B460),"")</f>
        <v>45454</v>
      </c>
      <c r="K460" s="4" t="str">
        <f aca="false">IF(A460="","",PROPER(TRIM(C460)))</f>
        <v>Midwest</v>
      </c>
      <c r="L460" s="4" t="str">
        <f aca="false">IF(A460="","",PROPER(TRIM(D460)))</f>
        <v>Accessories</v>
      </c>
      <c r="M460" s="4" t="n">
        <f aca="false">IFERROR(VALUE(F460),0)</f>
        <v>4</v>
      </c>
      <c r="N460" s="7" t="n">
        <f aca="false">IFERROR(VALUE(SUBSTITUTE(G460,"$","")),0)</f>
        <v>36.55</v>
      </c>
      <c r="O460" s="4" t="n">
        <f aca="false">IF(A460="",0,IF(COUNTIF($A$2:A460,A460)&gt;1,1,0))</f>
        <v>0</v>
      </c>
      <c r="P460" s="4" t="n">
        <f aca="false">IF(AND(A460&lt;&gt;"",J460&lt;&gt;"",M460&gt;0,N460&gt;0,O460=0),1,0)</f>
        <v>1</v>
      </c>
      <c r="Q460" s="7" t="n">
        <f aca="false">IF(P460=1,M460*N460,0)</f>
        <v>146.2</v>
      </c>
    </row>
    <row r="461" customFormat="false" ht="15" hidden="false" customHeight="false" outlineLevel="0" collapsed="false">
      <c r="A461" s="4" t="n">
        <v>10534</v>
      </c>
      <c r="B461" s="4" t="s">
        <v>1225</v>
      </c>
      <c r="C461" s="4" t="s">
        <v>321</v>
      </c>
      <c r="D461" s="4" t="s">
        <v>70</v>
      </c>
      <c r="E461" s="4" t="s">
        <v>448</v>
      </c>
      <c r="F461" s="4" t="n">
        <v>2</v>
      </c>
      <c r="G461" s="4" t="s">
        <v>1226</v>
      </c>
      <c r="H461" s="4" t="s">
        <v>73</v>
      </c>
      <c r="I461" s="4" t="s">
        <v>668</v>
      </c>
      <c r="J461" s="6" t="n">
        <f aca="false">IFERROR(DATEVALUE(B461),"")</f>
        <v>45583</v>
      </c>
      <c r="K461" s="4" t="str">
        <f aca="false">IF(A461="","",PROPER(TRIM(C461)))</f>
        <v>West</v>
      </c>
      <c r="L461" s="4" t="str">
        <f aca="false">IF(A461="","",PROPER(TRIM(D461)))</f>
        <v>Camping Gear</v>
      </c>
      <c r="M461" s="4" t="n">
        <f aca="false">IFERROR(VALUE(F461),0)</f>
        <v>2</v>
      </c>
      <c r="N461" s="7" t="n">
        <f aca="false">IFERROR(VALUE(SUBSTITUTE(G461,"$","")),0)</f>
        <v>195.17</v>
      </c>
      <c r="O461" s="4" t="n">
        <f aca="false">IF(A461="",0,IF(COUNTIF($A$2:A461,A461)&gt;1,1,0))</f>
        <v>0</v>
      </c>
      <c r="P461" s="4" t="n">
        <f aca="false">IF(AND(A461&lt;&gt;"",J461&lt;&gt;"",M461&gt;0,N461&gt;0,O461=0),1,0)</f>
        <v>1</v>
      </c>
      <c r="Q461" s="7" t="n">
        <f aca="false">IF(P461=1,M461*N461,0)</f>
        <v>390.34</v>
      </c>
    </row>
    <row r="462" customFormat="false" ht="15" hidden="false" customHeight="false" outlineLevel="0" collapsed="false">
      <c r="A462" s="4" t="n">
        <v>10068</v>
      </c>
      <c r="B462" s="4" t="s">
        <v>1227</v>
      </c>
      <c r="C462" s="4" t="s">
        <v>541</v>
      </c>
      <c r="D462" s="4" t="s">
        <v>44</v>
      </c>
      <c r="E462" s="4" t="s">
        <v>52</v>
      </c>
      <c r="F462" s="4" t="n">
        <v>2</v>
      </c>
      <c r="G462" s="4" t="s">
        <v>1228</v>
      </c>
      <c r="H462" s="4" t="s">
        <v>54</v>
      </c>
      <c r="I462" s="4" t="s">
        <v>389</v>
      </c>
      <c r="J462" s="6" t="n">
        <f aca="false">IFERROR(DATEVALUE(B462),"")</f>
        <v>45698</v>
      </c>
      <c r="K462" s="4" t="str">
        <f aca="false">IF(A462="","",PROPER(TRIM(C462)))</f>
        <v>West</v>
      </c>
      <c r="L462" s="4" t="str">
        <f aca="false">IF(A462="","",PROPER(TRIM(D462)))</f>
        <v>Accessories</v>
      </c>
      <c r="M462" s="4" t="n">
        <f aca="false">IFERROR(VALUE(F462),0)</f>
        <v>2</v>
      </c>
      <c r="N462" s="7" t="n">
        <f aca="false">IFERROR(VALUE(SUBSTITUTE(G462,"$","")),0)</f>
        <v>90.1</v>
      </c>
      <c r="O462" s="4" t="n">
        <f aca="false">IF(A462="",0,IF(COUNTIF($A$2:A462,A462)&gt;1,1,0))</f>
        <v>0</v>
      </c>
      <c r="P462" s="4" t="n">
        <f aca="false">IF(AND(A462&lt;&gt;"",J462&lt;&gt;"",M462&gt;0,N462&gt;0,O462=0),1,0)</f>
        <v>1</v>
      </c>
      <c r="Q462" s="7" t="n">
        <f aca="false">IF(P462=1,M462*N462,0)</f>
        <v>180.2</v>
      </c>
    </row>
    <row r="463" customFormat="false" ht="15" hidden="false" customHeight="false" outlineLevel="0" collapsed="false">
      <c r="A463" s="4" t="n">
        <v>10235</v>
      </c>
      <c r="B463" s="4" t="s">
        <v>1229</v>
      </c>
      <c r="C463" s="4" t="s">
        <v>93</v>
      </c>
      <c r="D463" s="4" t="s">
        <v>164</v>
      </c>
      <c r="E463" s="4" t="s">
        <v>89</v>
      </c>
      <c r="F463" s="4" t="n">
        <v>3</v>
      </c>
      <c r="G463" s="4" t="s">
        <v>1230</v>
      </c>
      <c r="H463" s="4" t="s">
        <v>47</v>
      </c>
      <c r="I463" s="4" t="s">
        <v>1231</v>
      </c>
      <c r="J463" s="6" t="n">
        <f aca="false">IFERROR(DATEVALUE(B463),"")</f>
        <v>45703</v>
      </c>
      <c r="K463" s="4" t="str">
        <f aca="false">IF(A463="","",PROPER(TRIM(C463)))</f>
        <v>West</v>
      </c>
      <c r="L463" s="4" t="str">
        <f aca="false">IF(A463="","",PROPER(TRIM(D463)))</f>
        <v>Apparel</v>
      </c>
      <c r="M463" s="4" t="n">
        <f aca="false">IFERROR(VALUE(F463),0)</f>
        <v>3</v>
      </c>
      <c r="N463" s="7" t="n">
        <f aca="false">IFERROR(VALUE(SUBSTITUTE(G463,"$","")),0)</f>
        <v>60.44</v>
      </c>
      <c r="O463" s="4" t="n">
        <f aca="false">IF(A463="",0,IF(COUNTIF($A$2:A463,A463)&gt;1,1,0))</f>
        <v>0</v>
      </c>
      <c r="P463" s="4" t="n">
        <f aca="false">IF(AND(A463&lt;&gt;"",J463&lt;&gt;"",M463&gt;0,N463&gt;0,O463=0),1,0)</f>
        <v>1</v>
      </c>
      <c r="Q463" s="7" t="n">
        <f aca="false">IF(P463=1,M463*N463,0)</f>
        <v>181.32</v>
      </c>
    </row>
    <row r="464" customFormat="false" ht="15" hidden="false" customHeight="false" outlineLevel="0" collapsed="false">
      <c r="A464" s="4" t="n">
        <v>10181</v>
      </c>
      <c r="B464" s="4" t="s">
        <v>75</v>
      </c>
      <c r="C464" s="4" t="s">
        <v>140</v>
      </c>
      <c r="D464" s="4" t="s">
        <v>101</v>
      </c>
      <c r="E464" s="4" t="s">
        <v>160</v>
      </c>
      <c r="F464" s="4" t="n">
        <v>2</v>
      </c>
      <c r="G464" s="4" t="s">
        <v>1232</v>
      </c>
      <c r="H464" s="4" t="s">
        <v>47</v>
      </c>
      <c r="I464" s="4" t="s">
        <v>1015</v>
      </c>
      <c r="J464" s="6" t="n">
        <f aca="false">IFERROR(DATEVALUE(B464),"")</f>
        <v>45356</v>
      </c>
      <c r="K464" s="4" t="str">
        <f aca="false">IF(A464="","",PROPER(TRIM(C464)))</f>
        <v>South</v>
      </c>
      <c r="L464" s="4" t="str">
        <f aca="false">IF(A464="","",PROPER(TRIM(D464)))</f>
        <v>Accessories</v>
      </c>
      <c r="M464" s="4" t="n">
        <f aca="false">IFERROR(VALUE(F464),0)</f>
        <v>2</v>
      </c>
      <c r="N464" s="7" t="n">
        <f aca="false">IFERROR(VALUE(SUBSTITUTE(G464,"$","")),0)</f>
        <v>28.06</v>
      </c>
      <c r="O464" s="4" t="n">
        <f aca="false">IF(A464="",0,IF(COUNTIF($A$2:A464,A464)&gt;1,1,0))</f>
        <v>0</v>
      </c>
      <c r="P464" s="4" t="n">
        <f aca="false">IF(AND(A464&lt;&gt;"",J464&lt;&gt;"",M464&gt;0,N464&gt;0,O464=0),1,0)</f>
        <v>1</v>
      </c>
      <c r="Q464" s="7" t="n">
        <f aca="false">IF(P464=1,M464*N464,0)</f>
        <v>56.12</v>
      </c>
    </row>
    <row r="466" customFormat="false" ht="15" hidden="false" customHeight="false" outlineLevel="0" collapsed="false">
      <c r="A466" s="4" t="n">
        <v>10258</v>
      </c>
      <c r="B466" s="4" t="s">
        <v>1233</v>
      </c>
      <c r="C466" s="4" t="s">
        <v>133</v>
      </c>
      <c r="D466" s="4" t="s">
        <v>171</v>
      </c>
      <c r="E466" s="4" t="s">
        <v>71</v>
      </c>
      <c r="F466" s="4" t="n">
        <v>1</v>
      </c>
      <c r="G466" s="4" t="s">
        <v>1234</v>
      </c>
      <c r="H466" s="4" t="s">
        <v>54</v>
      </c>
      <c r="I466" s="4" t="s">
        <v>1235</v>
      </c>
      <c r="J466" s="6" t="n">
        <f aca="false">IFERROR(DATEVALUE(B466),"")</f>
        <v>45778</v>
      </c>
      <c r="K466" s="4" t="str">
        <f aca="false">IF(A466="","",PROPER(TRIM(C466)))</f>
        <v>East</v>
      </c>
      <c r="L466" s="4" t="str">
        <f aca="false">IF(A466="","",PROPER(TRIM(D466)))</f>
        <v>Camping Gear</v>
      </c>
      <c r="M466" s="4" t="n">
        <f aca="false">IFERROR(VALUE(F466),0)</f>
        <v>1</v>
      </c>
      <c r="N466" s="7" t="n">
        <f aca="false">IFERROR(VALUE(SUBSTITUTE(G466,"$","")),0)</f>
        <v>72.97</v>
      </c>
      <c r="O466" s="4" t="n">
        <f aca="false">IF(A466="",0,IF(COUNTIF($A$2:A466,A466)&gt;1,1,0))</f>
        <v>0</v>
      </c>
      <c r="P466" s="4" t="n">
        <f aca="false">IF(AND(A466&lt;&gt;"",J466&lt;&gt;"",M466&gt;0,N466&gt;0,O466=0),1,0)</f>
        <v>1</v>
      </c>
      <c r="Q466" s="7" t="n">
        <f aca="false">IF(P466=1,M466*N466,0)</f>
        <v>72.97</v>
      </c>
    </row>
    <row r="468" customFormat="false" ht="15" hidden="false" customHeight="false" outlineLevel="0" collapsed="false">
      <c r="A468" s="4" t="n">
        <v>10457</v>
      </c>
      <c r="B468" s="4" t="s">
        <v>194</v>
      </c>
      <c r="C468" s="4" t="s">
        <v>133</v>
      </c>
      <c r="D468" s="4" t="s">
        <v>575</v>
      </c>
      <c r="E468" s="4" t="s">
        <v>210</v>
      </c>
      <c r="F468" s="4" t="n">
        <v>1</v>
      </c>
      <c r="G468" s="4" t="s">
        <v>1236</v>
      </c>
      <c r="H468" s="4" t="s">
        <v>73</v>
      </c>
      <c r="I468" s="4" t="s">
        <v>319</v>
      </c>
      <c r="J468" s="6" t="n">
        <f aca="false">IFERROR(DATEVALUE(B468),"")</f>
        <v>45305</v>
      </c>
      <c r="K468" s="4" t="str">
        <f aca="false">IF(A468="","",PROPER(TRIM(C468)))</f>
        <v>East</v>
      </c>
      <c r="L468" s="4" t="str">
        <f aca="false">IF(A468="","",PROPER(TRIM(D468)))</f>
        <v>Accessories</v>
      </c>
      <c r="M468" s="4" t="n">
        <f aca="false">IFERROR(VALUE(F468),0)</f>
        <v>1</v>
      </c>
      <c r="N468" s="7" t="n">
        <f aca="false">IFERROR(VALUE(SUBSTITUTE(G468,"$","")),0)</f>
        <v>33.72</v>
      </c>
      <c r="O468" s="4" t="n">
        <f aca="false">IF(A468="",0,IF(COUNTIF($A$2:A468,A468)&gt;1,1,0))</f>
        <v>0</v>
      </c>
      <c r="P468" s="4" t="n">
        <f aca="false">IF(AND(A468&lt;&gt;"",J468&lt;&gt;"",M468&gt;0,N468&gt;0,O468=0),1,0)</f>
        <v>1</v>
      </c>
      <c r="Q468" s="7" t="n">
        <f aca="false">IF(P468=1,M468*N468,0)</f>
        <v>33.72</v>
      </c>
    </row>
    <row r="469" customFormat="false" ht="15" hidden="false" customHeight="false" outlineLevel="0" collapsed="false">
      <c r="A469" s="4" t="n">
        <v>10510</v>
      </c>
      <c r="B469" s="4" t="s">
        <v>672</v>
      </c>
      <c r="C469" s="4" t="s">
        <v>315</v>
      </c>
      <c r="D469" s="4" t="s">
        <v>217</v>
      </c>
      <c r="E469" s="4" t="s">
        <v>89</v>
      </c>
      <c r="F469" s="4" t="n">
        <v>5</v>
      </c>
      <c r="G469" s="4" t="s">
        <v>1237</v>
      </c>
      <c r="H469" s="4" t="s">
        <v>73</v>
      </c>
      <c r="I469" s="4" t="s">
        <v>1238</v>
      </c>
      <c r="J469" s="6" t="n">
        <f aca="false">IFERROR(DATEVALUE(B469),"")</f>
        <v>45644</v>
      </c>
      <c r="K469" s="4" t="str">
        <f aca="false">IF(A469="","",PROPER(TRIM(C469)))</f>
        <v>South</v>
      </c>
      <c r="L469" s="4" t="str">
        <f aca="false">IF(A469="","",PROPER(TRIM(D469)))</f>
        <v>Apparel</v>
      </c>
      <c r="M469" s="4" t="n">
        <f aca="false">IFERROR(VALUE(F469),0)</f>
        <v>5</v>
      </c>
      <c r="N469" s="7" t="n">
        <f aca="false">IFERROR(VALUE(SUBSTITUTE(G469,"$","")),0)</f>
        <v>65.32</v>
      </c>
      <c r="O469" s="4" t="n">
        <f aca="false">IF(A469="",0,IF(COUNTIF($A$2:A469,A469)&gt;1,1,0))</f>
        <v>0</v>
      </c>
      <c r="P469" s="4" t="n">
        <f aca="false">IF(AND(A469&lt;&gt;"",J469&lt;&gt;"",M469&gt;0,N469&gt;0,O469=0),1,0)</f>
        <v>1</v>
      </c>
      <c r="Q469" s="7" t="n">
        <f aca="false">IF(P469=1,M469*N469,0)</f>
        <v>326.6</v>
      </c>
    </row>
    <row r="470" customFormat="false" ht="15" hidden="false" customHeight="false" outlineLevel="0" collapsed="false">
      <c r="A470" s="4" t="n">
        <v>10475</v>
      </c>
      <c r="B470" s="4" t="s">
        <v>206</v>
      </c>
      <c r="C470" s="4" t="s">
        <v>178</v>
      </c>
      <c r="D470" s="4" t="s">
        <v>333</v>
      </c>
      <c r="E470" s="4" t="s">
        <v>52</v>
      </c>
      <c r="F470" s="4" t="n">
        <v>1</v>
      </c>
      <c r="G470" s="4" t="s">
        <v>1239</v>
      </c>
      <c r="H470" s="4" t="s">
        <v>73</v>
      </c>
      <c r="I470" s="4" t="s">
        <v>262</v>
      </c>
      <c r="J470" s="6" t="str">
        <f aca="false">IFERROR(DATEVALUE(B470),"")</f>
        <v/>
      </c>
      <c r="K470" s="4" t="str">
        <f aca="false">IF(A470="","",PROPER(TRIM(C470)))</f>
        <v>South</v>
      </c>
      <c r="L470" s="4" t="str">
        <f aca="false">IF(A470="","",PROPER(TRIM(D470)))</f>
        <v>Accessories</v>
      </c>
      <c r="M470" s="4" t="n">
        <f aca="false">IFERROR(VALUE(F470),0)</f>
        <v>1</v>
      </c>
      <c r="N470" s="7" t="n">
        <f aca="false">IFERROR(VALUE(SUBSTITUTE(G470,"$","")),0)</f>
        <v>78.61</v>
      </c>
      <c r="O470" s="4" t="n">
        <f aca="false">IF(A470="",0,IF(COUNTIF($A$2:A470,A470)&gt;1,1,0))</f>
        <v>0</v>
      </c>
      <c r="P470" s="4" t="n">
        <f aca="false">IF(AND(A470&lt;&gt;"",J470&lt;&gt;"",M470&gt;0,N470&gt;0,O470=0),1,0)</f>
        <v>0</v>
      </c>
      <c r="Q470" s="7" t="n">
        <f aca="false">IF(P470=1,M470*N470,0)</f>
        <v>0</v>
      </c>
    </row>
    <row r="471" customFormat="false" ht="15" hidden="false" customHeight="false" outlineLevel="0" collapsed="false">
      <c r="A471" s="4" t="n">
        <v>10434</v>
      </c>
      <c r="B471" s="4" t="s">
        <v>1240</v>
      </c>
      <c r="C471" s="4" t="s">
        <v>315</v>
      </c>
      <c r="D471" s="4" t="s">
        <v>64</v>
      </c>
      <c r="E471" s="4" t="s">
        <v>111</v>
      </c>
      <c r="F471" s="4" t="n">
        <v>3</v>
      </c>
      <c r="G471" s="4" t="s">
        <v>1241</v>
      </c>
      <c r="H471" s="4" t="s">
        <v>47</v>
      </c>
      <c r="I471" s="4" t="s">
        <v>461</v>
      </c>
      <c r="J471" s="6" t="n">
        <f aca="false">IFERROR(DATEVALUE(B471),"")</f>
        <v>45535</v>
      </c>
      <c r="K471" s="4" t="str">
        <f aca="false">IF(A471="","",PROPER(TRIM(C471)))</f>
        <v>South</v>
      </c>
      <c r="L471" s="4" t="str">
        <f aca="false">IF(A471="","",PROPER(TRIM(D471)))</f>
        <v>Footwear</v>
      </c>
      <c r="M471" s="4" t="n">
        <f aca="false">IFERROR(VALUE(F471),0)</f>
        <v>3</v>
      </c>
      <c r="N471" s="7" t="n">
        <f aca="false">IFERROR(VALUE(SUBSTITUTE(G471,"$","")),0)</f>
        <v>99</v>
      </c>
      <c r="O471" s="4" t="n">
        <f aca="false">IF(A471="",0,IF(COUNTIF($A$2:A471,A471)&gt;1,1,0))</f>
        <v>0</v>
      </c>
      <c r="P471" s="4" t="n">
        <f aca="false">IF(AND(A471&lt;&gt;"",J471&lt;&gt;"",M471&gt;0,N471&gt;0,O471=0),1,0)</f>
        <v>1</v>
      </c>
      <c r="Q471" s="7" t="n">
        <f aca="false">IF(P471=1,M471*N471,0)</f>
        <v>297</v>
      </c>
    </row>
    <row r="472" customFormat="false" ht="15" hidden="false" customHeight="false" outlineLevel="0" collapsed="false">
      <c r="A472" s="4" t="n">
        <v>10676</v>
      </c>
      <c r="B472" s="4" t="s">
        <v>1242</v>
      </c>
      <c r="C472" s="4" t="s">
        <v>435</v>
      </c>
      <c r="D472" s="4" t="s">
        <v>225</v>
      </c>
      <c r="E472" s="4" t="s">
        <v>160</v>
      </c>
      <c r="F472" s="4" t="n">
        <v>3</v>
      </c>
      <c r="G472" s="4" t="s">
        <v>1243</v>
      </c>
      <c r="H472" s="4" t="s">
        <v>73</v>
      </c>
      <c r="I472" s="4" t="s">
        <v>153</v>
      </c>
      <c r="J472" s="6" t="n">
        <f aca="false">IFERROR(DATEVALUE(B472),"")</f>
        <v>45377</v>
      </c>
      <c r="K472" s="4" t="str">
        <f aca="false">IF(A472="","",PROPER(TRIM(C472)))</f>
        <v>Midwest</v>
      </c>
      <c r="L472" s="4" t="str">
        <f aca="false">IF(A472="","",PROPER(TRIM(D472)))</f>
        <v>Accessories</v>
      </c>
      <c r="M472" s="4" t="n">
        <f aca="false">IFERROR(VALUE(F472),0)</f>
        <v>3</v>
      </c>
      <c r="N472" s="7" t="n">
        <f aca="false">IFERROR(VALUE(SUBSTITUTE(G472,"$","")),0)</f>
        <v>26.84</v>
      </c>
      <c r="O472" s="4" t="n">
        <f aca="false">IF(A472="",0,IF(COUNTIF($A$2:A472,A472)&gt;1,1,0))</f>
        <v>0</v>
      </c>
      <c r="P472" s="4" t="n">
        <f aca="false">IF(AND(A472&lt;&gt;"",J472&lt;&gt;"",M472&gt;0,N472&gt;0,O472=0),1,0)</f>
        <v>1</v>
      </c>
      <c r="Q472" s="7" t="n">
        <f aca="false">IF(P472=1,M472*N472,0)</f>
        <v>80.52</v>
      </c>
    </row>
    <row r="473" customFormat="false" ht="15" hidden="false" customHeight="false" outlineLevel="0" collapsed="false">
      <c r="A473" s="4" t="n">
        <v>10703</v>
      </c>
      <c r="B473" s="4" t="s">
        <v>1244</v>
      </c>
      <c r="C473" s="4" t="s">
        <v>149</v>
      </c>
      <c r="D473" s="4" t="s">
        <v>387</v>
      </c>
      <c r="E473" s="4" t="s">
        <v>71</v>
      </c>
      <c r="F473" s="4" t="n">
        <v>2</v>
      </c>
      <c r="G473" s="4" t="s">
        <v>1245</v>
      </c>
      <c r="H473" s="4" t="s">
        <v>47</v>
      </c>
      <c r="I473" s="4" t="s">
        <v>398</v>
      </c>
      <c r="J473" s="6" t="n">
        <f aca="false">IFERROR(DATEVALUE(B473),"")</f>
        <v>45772</v>
      </c>
      <c r="K473" s="4" t="str">
        <f aca="false">IF(A473="","",PROPER(TRIM(C473)))</f>
        <v>East</v>
      </c>
      <c r="L473" s="4" t="str">
        <f aca="false">IF(A473="","",PROPER(TRIM(D473)))</f>
        <v>Camping Gear</v>
      </c>
      <c r="M473" s="4" t="n">
        <f aca="false">IFERROR(VALUE(F473),0)</f>
        <v>2</v>
      </c>
      <c r="N473" s="7" t="n">
        <f aca="false">IFERROR(VALUE(SUBSTITUTE(G473,"$","")),0)</f>
        <v>74.7</v>
      </c>
      <c r="O473" s="4" t="n">
        <f aca="false">IF(A473="",0,IF(COUNTIF($A$2:A473,A473)&gt;1,1,0))</f>
        <v>0</v>
      </c>
      <c r="P473" s="4" t="n">
        <f aca="false">IF(AND(A473&lt;&gt;"",J473&lt;&gt;"",M473&gt;0,N473&gt;0,O473=0),1,0)</f>
        <v>1</v>
      </c>
      <c r="Q473" s="7" t="n">
        <f aca="false">IF(P473=1,M473*N473,0)</f>
        <v>149.4</v>
      </c>
    </row>
    <row r="474" customFormat="false" ht="15" hidden="false" customHeight="false" outlineLevel="0" collapsed="false">
      <c r="A474" s="4" t="n">
        <v>10712</v>
      </c>
      <c r="B474" s="4" t="s">
        <v>1246</v>
      </c>
      <c r="C474" s="4" t="s">
        <v>315</v>
      </c>
      <c r="D474" s="4" t="s">
        <v>281</v>
      </c>
      <c r="E474" s="4" t="s">
        <v>448</v>
      </c>
      <c r="F474" s="4" t="n">
        <v>1</v>
      </c>
      <c r="G474" s="4" t="s">
        <v>1247</v>
      </c>
      <c r="H474" s="4" t="s">
        <v>54</v>
      </c>
      <c r="I474" s="4" t="s">
        <v>1183</v>
      </c>
      <c r="J474" s="6" t="n">
        <f aca="false">IFERROR(DATEVALUE(B474),"")</f>
        <v>45808</v>
      </c>
      <c r="K474" s="4" t="str">
        <f aca="false">IF(A474="","",PROPER(TRIM(C474)))</f>
        <v>South</v>
      </c>
      <c r="L474" s="4" t="str">
        <f aca="false">IF(A474="","",PROPER(TRIM(D474)))</f>
        <v>Camping Gear</v>
      </c>
      <c r="M474" s="4" t="n">
        <f aca="false">IFERROR(VALUE(F474),0)</f>
        <v>1</v>
      </c>
      <c r="N474" s="7" t="n">
        <f aca="false">IFERROR(VALUE(SUBSTITUTE(G474,"$","")),0)</f>
        <v>178.36</v>
      </c>
      <c r="O474" s="4" t="n">
        <f aca="false">IF(A474="",0,IF(COUNTIF($A$2:A474,A474)&gt;1,1,0))</f>
        <v>0</v>
      </c>
      <c r="P474" s="4" t="n">
        <f aca="false">IF(AND(A474&lt;&gt;"",J474&lt;&gt;"",M474&gt;0,N474&gt;0,O474=0),1,0)</f>
        <v>1</v>
      </c>
      <c r="Q474" s="7" t="n">
        <f aca="false">IF(P474=1,M474*N474,0)</f>
        <v>178.36</v>
      </c>
    </row>
    <row r="475" customFormat="false" ht="15" hidden="false" customHeight="false" outlineLevel="0" collapsed="false">
      <c r="A475" s="4" t="n">
        <v>10162</v>
      </c>
      <c r="B475" s="4" t="s">
        <v>1248</v>
      </c>
      <c r="C475" s="4" t="s">
        <v>178</v>
      </c>
      <c r="D475" s="4" t="s">
        <v>202</v>
      </c>
      <c r="E475" s="4" t="s">
        <v>251</v>
      </c>
      <c r="F475" s="4" t="n">
        <v>2</v>
      </c>
      <c r="G475" s="4" t="s">
        <v>1249</v>
      </c>
      <c r="H475" s="4" t="s">
        <v>73</v>
      </c>
      <c r="I475" s="4" t="s">
        <v>1250</v>
      </c>
      <c r="J475" s="6" t="n">
        <f aca="false">IFERROR(DATEVALUE(B475),"")</f>
        <v>45418</v>
      </c>
      <c r="K475" s="4" t="str">
        <f aca="false">IF(A475="","",PROPER(TRIM(C475)))</f>
        <v>South</v>
      </c>
      <c r="L475" s="4" t="str">
        <f aca="false">IF(A475="","",PROPER(TRIM(D475)))</f>
        <v>Camping Gear</v>
      </c>
      <c r="M475" s="4" t="n">
        <f aca="false">IFERROR(VALUE(F475),0)</f>
        <v>2</v>
      </c>
      <c r="N475" s="7" t="n">
        <f aca="false">IFERROR(VALUE(SUBSTITUTE(G475,"$","")),0)</f>
        <v>85.02</v>
      </c>
      <c r="O475" s="4" t="n">
        <f aca="false">IF(A475="",0,IF(COUNTIF($A$2:A475,A475)&gt;1,1,0))</f>
        <v>0</v>
      </c>
      <c r="P475" s="4" t="n">
        <f aca="false">IF(AND(A475&lt;&gt;"",J475&lt;&gt;"",M475&gt;0,N475&gt;0,O475=0),1,0)</f>
        <v>1</v>
      </c>
      <c r="Q475" s="7" t="n">
        <f aca="false">IF(P475=1,M475*N475,0)</f>
        <v>170.04</v>
      </c>
    </row>
    <row r="476" customFormat="false" ht="15" hidden="false" customHeight="false" outlineLevel="0" collapsed="false">
      <c r="A476" s="4" t="n">
        <v>10729</v>
      </c>
      <c r="B476" s="4" t="s">
        <v>1251</v>
      </c>
      <c r="C476" s="4" t="s">
        <v>57</v>
      </c>
      <c r="D476" s="4" t="s">
        <v>575</v>
      </c>
      <c r="E476" s="4" t="s">
        <v>160</v>
      </c>
      <c r="F476" s="4" t="n">
        <v>3</v>
      </c>
      <c r="G476" s="4" t="s">
        <v>1252</v>
      </c>
      <c r="H476" s="4" t="s">
        <v>73</v>
      </c>
      <c r="I476" s="4" t="s">
        <v>1253</v>
      </c>
      <c r="J476" s="6" t="n">
        <f aca="false">IFERROR(DATEVALUE(B476),"")</f>
        <v>45531</v>
      </c>
      <c r="K476" s="4" t="str">
        <f aca="false">IF(A476="","",PROPER(TRIM(C476)))</f>
        <v>West</v>
      </c>
      <c r="L476" s="4" t="str">
        <f aca="false">IF(A476="","",PROPER(TRIM(D476)))</f>
        <v>Accessories</v>
      </c>
      <c r="M476" s="4" t="n">
        <f aca="false">IFERROR(VALUE(F476),0)</f>
        <v>3</v>
      </c>
      <c r="N476" s="7" t="n">
        <f aca="false">IFERROR(VALUE(SUBSTITUTE(G476,"$","")),0)</f>
        <v>27.32</v>
      </c>
      <c r="O476" s="4" t="n">
        <f aca="false">IF(A476="",0,IF(COUNTIF($A$2:A476,A476)&gt;1,1,0))</f>
        <v>0</v>
      </c>
      <c r="P476" s="4" t="n">
        <f aca="false">IF(AND(A476&lt;&gt;"",J476&lt;&gt;"",M476&gt;0,N476&gt;0,O476=0),1,0)</f>
        <v>1</v>
      </c>
      <c r="Q476" s="7" t="n">
        <f aca="false">IF(P476=1,M476*N476,0)</f>
        <v>81.96</v>
      </c>
    </row>
    <row r="477" customFormat="false" ht="15" hidden="false" customHeight="false" outlineLevel="0" collapsed="false">
      <c r="A477" s="4" t="n">
        <v>10758</v>
      </c>
      <c r="B477" s="4" t="s">
        <v>1254</v>
      </c>
      <c r="C477" s="4" t="s">
        <v>541</v>
      </c>
      <c r="D477" s="4" t="s">
        <v>70</v>
      </c>
      <c r="E477" s="4" t="s">
        <v>251</v>
      </c>
      <c r="F477" s="4" t="n">
        <v>1</v>
      </c>
      <c r="G477" s="4" t="s">
        <v>1255</v>
      </c>
      <c r="H477" s="4" t="s">
        <v>54</v>
      </c>
      <c r="I477" s="4" t="s">
        <v>1256</v>
      </c>
      <c r="J477" s="6" t="n">
        <f aca="false">IFERROR(DATEVALUE(B477),"")</f>
        <v>45527</v>
      </c>
      <c r="K477" s="4" t="str">
        <f aca="false">IF(A477="","",PROPER(TRIM(C477)))</f>
        <v>West</v>
      </c>
      <c r="L477" s="4" t="str">
        <f aca="false">IF(A477="","",PROPER(TRIM(D477)))</f>
        <v>Camping Gear</v>
      </c>
      <c r="M477" s="4" t="n">
        <f aca="false">IFERROR(VALUE(F477),0)</f>
        <v>1</v>
      </c>
      <c r="N477" s="7" t="n">
        <f aca="false">IFERROR(VALUE(SUBSTITUTE(G477,"$","")),0)</f>
        <v>79.89</v>
      </c>
      <c r="O477" s="4" t="n">
        <f aca="false">IF(A477="",0,IF(COUNTIF($A$2:A477,A477)&gt;1,1,0))</f>
        <v>0</v>
      </c>
      <c r="P477" s="4" t="n">
        <f aca="false">IF(AND(A477&lt;&gt;"",J477&lt;&gt;"",M477&gt;0,N477&gt;0,O477=0),1,0)</f>
        <v>1</v>
      </c>
      <c r="Q477" s="7" t="n">
        <f aca="false">IF(P477=1,M477*N477,0)</f>
        <v>79.89</v>
      </c>
    </row>
    <row r="478" customFormat="false" ht="15" hidden="false" customHeight="false" outlineLevel="0" collapsed="false">
      <c r="A478" s="4" t="n">
        <v>10231</v>
      </c>
      <c r="B478" s="4" t="s">
        <v>1257</v>
      </c>
      <c r="C478" s="4" t="s">
        <v>69</v>
      </c>
      <c r="D478" s="4" t="s">
        <v>129</v>
      </c>
      <c r="E478" s="4" t="s">
        <v>188</v>
      </c>
      <c r="F478" s="4" t="n">
        <v>1</v>
      </c>
      <c r="G478" s="4" t="s">
        <v>1258</v>
      </c>
      <c r="H478" s="4" t="s">
        <v>47</v>
      </c>
      <c r="I478" s="4" t="s">
        <v>1010</v>
      </c>
      <c r="J478" s="6" t="n">
        <f aca="false">IFERROR(DATEVALUE(B478),"")</f>
        <v>45747</v>
      </c>
      <c r="K478" s="4" t="str">
        <f aca="false">IF(A478="","",PROPER(TRIM(C478)))</f>
        <v>East</v>
      </c>
      <c r="L478" s="4" t="str">
        <f aca="false">IF(A478="","",PROPER(TRIM(D478)))</f>
        <v>Climbing Gear</v>
      </c>
      <c r="M478" s="4" t="n">
        <f aca="false">IFERROR(VALUE(F478),0)</f>
        <v>1</v>
      </c>
      <c r="N478" s="7" t="n">
        <f aca="false">IFERROR(VALUE(SUBSTITUTE(G478,"$","")),0)</f>
        <v>22.66</v>
      </c>
      <c r="O478" s="4" t="n">
        <f aca="false">IF(A478="",0,IF(COUNTIF($A$2:A478,A478)&gt;1,1,0))</f>
        <v>0</v>
      </c>
      <c r="P478" s="4" t="n">
        <f aca="false">IF(AND(A478&lt;&gt;"",J478&lt;&gt;"",M478&gt;0,N478&gt;0,O478=0),1,0)</f>
        <v>1</v>
      </c>
      <c r="Q478" s="7" t="n">
        <f aca="false">IF(P478=1,M478*N478,0)</f>
        <v>22.66</v>
      </c>
    </row>
    <row r="479" customFormat="false" ht="15" hidden="false" customHeight="false" outlineLevel="0" collapsed="false">
      <c r="A479" s="4" t="n">
        <v>10671</v>
      </c>
      <c r="B479" s="4" t="s">
        <v>1259</v>
      </c>
      <c r="C479" s="4" t="s">
        <v>93</v>
      </c>
      <c r="D479" s="4" t="s">
        <v>230</v>
      </c>
      <c r="E479" s="4" t="s">
        <v>142</v>
      </c>
      <c r="F479" s="4" t="n">
        <v>3</v>
      </c>
      <c r="G479" s="4"/>
      <c r="H479" s="4" t="s">
        <v>73</v>
      </c>
      <c r="I479" s="4" t="s">
        <v>1260</v>
      </c>
      <c r="J479" s="6" t="n">
        <f aca="false">IFERROR(DATEVALUE(B479),"")</f>
        <v>45605</v>
      </c>
      <c r="K479" s="4" t="str">
        <f aca="false">IF(A479="","",PROPER(TRIM(C479)))</f>
        <v>West</v>
      </c>
      <c r="L479" s="4" t="str">
        <f aca="false">IF(A479="","",PROPER(TRIM(D479)))</f>
        <v>Apparel</v>
      </c>
      <c r="M479" s="4" t="n">
        <f aca="false">IFERROR(VALUE(F479),0)</f>
        <v>3</v>
      </c>
      <c r="N479" s="7" t="n">
        <f aca="false">IFERROR(VALUE(SUBSTITUTE(G479,"$","")),0)</f>
        <v>0</v>
      </c>
      <c r="O479" s="4" t="n">
        <f aca="false">IF(A479="",0,IF(COUNTIF($A$2:A479,A479)&gt;1,1,0))</f>
        <v>0</v>
      </c>
      <c r="P479" s="4" t="n">
        <f aca="false">IF(AND(A479&lt;&gt;"",J479&lt;&gt;"",M479&gt;0,N479&gt;0,O479=0),1,0)</f>
        <v>0</v>
      </c>
      <c r="Q479" s="7" t="n">
        <f aca="false">IF(P479=1,M479*N479,0)</f>
        <v>0</v>
      </c>
    </row>
    <row r="480" customFormat="false" ht="15" hidden="false" customHeight="false" outlineLevel="0" collapsed="false">
      <c r="A480" s="4" t="n">
        <v>10248</v>
      </c>
      <c r="B480" s="4" t="s">
        <v>956</v>
      </c>
      <c r="C480" s="4" t="s">
        <v>50</v>
      </c>
      <c r="D480" s="4" t="s">
        <v>64</v>
      </c>
      <c r="E480" s="4" t="s">
        <v>151</v>
      </c>
      <c r="F480" s="4" t="n">
        <v>1</v>
      </c>
      <c r="G480" s="4" t="s">
        <v>1261</v>
      </c>
      <c r="H480" s="4" t="s">
        <v>73</v>
      </c>
      <c r="I480" s="4" t="s">
        <v>473</v>
      </c>
      <c r="J480" s="6" t="n">
        <f aca="false">IFERROR(DATEVALUE(B480),"")</f>
        <v>45696</v>
      </c>
      <c r="K480" s="4" t="str">
        <f aca="false">IF(A480="","",PROPER(TRIM(C480)))</f>
        <v>Midwest</v>
      </c>
      <c r="L480" s="4" t="str">
        <f aca="false">IF(A480="","",PROPER(TRIM(D480)))</f>
        <v>Footwear</v>
      </c>
      <c r="M480" s="4" t="n">
        <f aca="false">IFERROR(VALUE(F480),0)</f>
        <v>1</v>
      </c>
      <c r="N480" s="7" t="n">
        <f aca="false">IFERROR(VALUE(SUBSTITUTE(G480,"$","")),0)</f>
        <v>159.87</v>
      </c>
      <c r="O480" s="4" t="n">
        <f aca="false">IF(A480="",0,IF(COUNTIF($A$2:A480,A480)&gt;1,1,0))</f>
        <v>0</v>
      </c>
      <c r="P480" s="4" t="n">
        <f aca="false">IF(AND(A480&lt;&gt;"",J480&lt;&gt;"",M480&gt;0,N480&gt;0,O480=0),1,0)</f>
        <v>1</v>
      </c>
      <c r="Q480" s="7" t="n">
        <f aca="false">IF(P480=1,M480*N480,0)</f>
        <v>159.87</v>
      </c>
    </row>
    <row r="482" customFormat="false" ht="15" hidden="false" customHeight="false" outlineLevel="0" collapsed="false">
      <c r="A482" s="4" t="n">
        <v>10594</v>
      </c>
      <c r="B482" s="4" t="s">
        <v>1262</v>
      </c>
      <c r="C482" s="4" t="s">
        <v>229</v>
      </c>
      <c r="D482" s="4" t="s">
        <v>438</v>
      </c>
      <c r="E482" s="4" t="s">
        <v>77</v>
      </c>
      <c r="F482" s="4" t="n">
        <v>1</v>
      </c>
      <c r="G482" s="4" t="s">
        <v>1263</v>
      </c>
      <c r="H482" s="4" t="s">
        <v>47</v>
      </c>
      <c r="I482" s="4" t="s">
        <v>816</v>
      </c>
      <c r="J482" s="6" t="n">
        <f aca="false">IFERROR(DATEVALUE(B482),"")</f>
        <v>45542</v>
      </c>
      <c r="K482" s="4" t="str">
        <f aca="false">IF(A482="","",PROPER(TRIM(C482)))</f>
        <v>Midwest</v>
      </c>
      <c r="L482" s="4" t="str">
        <f aca="false">IF(A482="","",PROPER(TRIM(D482)))</f>
        <v>Footwear</v>
      </c>
      <c r="M482" s="4" t="n">
        <f aca="false">IFERROR(VALUE(F482),0)</f>
        <v>1</v>
      </c>
      <c r="N482" s="7" t="n">
        <f aca="false">IFERROR(VALUE(SUBSTITUTE(G482,"$","")),0)</f>
        <v>142.57</v>
      </c>
      <c r="O482" s="4" t="n">
        <f aca="false">IF(A482="",0,IF(COUNTIF($A$2:A482,A482)&gt;1,1,0))</f>
        <v>0</v>
      </c>
      <c r="P482" s="4" t="n">
        <f aca="false">IF(AND(A482&lt;&gt;"",J482&lt;&gt;"",M482&gt;0,N482&gt;0,O482=0),1,0)</f>
        <v>1</v>
      </c>
      <c r="Q482" s="7" t="n">
        <f aca="false">IF(P482=1,M482*N482,0)</f>
        <v>142.57</v>
      </c>
    </row>
    <row r="483" customFormat="false" ht="15" hidden="false" customHeight="false" outlineLevel="0" collapsed="false">
      <c r="A483" s="4" t="n">
        <v>10516</v>
      </c>
      <c r="B483" s="4" t="s">
        <v>1264</v>
      </c>
      <c r="C483" s="4" t="s">
        <v>178</v>
      </c>
      <c r="D483" s="4" t="s">
        <v>70</v>
      </c>
      <c r="E483" s="4" t="s">
        <v>203</v>
      </c>
      <c r="F483" s="4" t="n">
        <v>3</v>
      </c>
      <c r="G483" s="4" t="s">
        <v>1265</v>
      </c>
      <c r="H483" s="4" t="s">
        <v>47</v>
      </c>
      <c r="I483" s="4" t="s">
        <v>1266</v>
      </c>
      <c r="J483" s="6" t="n">
        <f aca="false">IFERROR(DATEVALUE(B483),"")</f>
        <v>45636</v>
      </c>
      <c r="K483" s="4" t="str">
        <f aca="false">IF(A483="","",PROPER(TRIM(C483)))</f>
        <v>South</v>
      </c>
      <c r="L483" s="4" t="str">
        <f aca="false">IF(A483="","",PROPER(TRIM(D483)))</f>
        <v>Camping Gear</v>
      </c>
      <c r="M483" s="4" t="n">
        <f aca="false">IFERROR(VALUE(F483),0)</f>
        <v>3</v>
      </c>
      <c r="N483" s="7" t="n">
        <f aca="false">IFERROR(VALUE(SUBSTITUTE(G483,"$","")),0)</f>
        <v>240.18</v>
      </c>
      <c r="O483" s="4" t="n">
        <f aca="false">IF(A483="",0,IF(COUNTIF($A$2:A483,A483)&gt;1,1,0))</f>
        <v>0</v>
      </c>
      <c r="P483" s="4" t="n">
        <f aca="false">IF(AND(A483&lt;&gt;"",J483&lt;&gt;"",M483&gt;0,N483&gt;0,O483=0),1,0)</f>
        <v>1</v>
      </c>
      <c r="Q483" s="7" t="n">
        <f aca="false">IF(P483=1,M483*N483,0)</f>
        <v>720.54</v>
      </c>
    </row>
    <row r="484" customFormat="false" ht="15" hidden="false" customHeight="false" outlineLevel="0" collapsed="false">
      <c r="A484" s="4" t="n">
        <v>10131</v>
      </c>
      <c r="B484" s="4" t="s">
        <v>639</v>
      </c>
      <c r="C484" s="4" t="s">
        <v>110</v>
      </c>
      <c r="D484" s="4" t="s">
        <v>281</v>
      </c>
      <c r="E484" s="4" t="s">
        <v>448</v>
      </c>
      <c r="F484" s="4" t="n">
        <v>4</v>
      </c>
      <c r="G484" s="4" t="s">
        <v>1267</v>
      </c>
      <c r="H484" s="4" t="s">
        <v>73</v>
      </c>
      <c r="I484" s="4" t="s">
        <v>520</v>
      </c>
      <c r="J484" s="6" t="n">
        <f aca="false">IFERROR(DATEVALUE(B484),"")</f>
        <v>45403</v>
      </c>
      <c r="K484" s="4" t="str">
        <f aca="false">IF(A484="","",PROPER(TRIM(C484)))</f>
        <v>Midwest</v>
      </c>
      <c r="L484" s="4" t="str">
        <f aca="false">IF(A484="","",PROPER(TRIM(D484)))</f>
        <v>Camping Gear</v>
      </c>
      <c r="M484" s="4" t="n">
        <f aca="false">IFERROR(VALUE(F484),0)</f>
        <v>4</v>
      </c>
      <c r="N484" s="7" t="n">
        <f aca="false">IFERROR(VALUE(SUBSTITUTE(G484,"$","")),0)</f>
        <v>183.37</v>
      </c>
      <c r="O484" s="4" t="n">
        <f aca="false">IF(A484="",0,IF(COUNTIF($A$2:A484,A484)&gt;1,1,0))</f>
        <v>0</v>
      </c>
      <c r="P484" s="4" t="n">
        <f aca="false">IF(AND(A484&lt;&gt;"",J484&lt;&gt;"",M484&gt;0,N484&gt;0,O484=0),1,0)</f>
        <v>1</v>
      </c>
      <c r="Q484" s="7" t="n">
        <f aca="false">IF(P484=1,M484*N484,0)</f>
        <v>733.48</v>
      </c>
    </row>
    <row r="485" customFormat="false" ht="15" hidden="false" customHeight="false" outlineLevel="0" collapsed="false">
      <c r="A485" s="4" t="n">
        <v>10630</v>
      </c>
      <c r="B485" s="4" t="s">
        <v>1268</v>
      </c>
      <c r="C485" s="4" t="s">
        <v>321</v>
      </c>
      <c r="D485" s="4" t="s">
        <v>44</v>
      </c>
      <c r="E485" s="4" t="s">
        <v>52</v>
      </c>
      <c r="F485" s="4" t="n">
        <v>4</v>
      </c>
      <c r="G485" s="4" t="s">
        <v>1269</v>
      </c>
      <c r="H485" s="4" t="s">
        <v>47</v>
      </c>
      <c r="I485" s="4" t="s">
        <v>520</v>
      </c>
      <c r="J485" s="6" t="n">
        <f aca="false">IFERROR(DATEVALUE(B485),"")</f>
        <v>45614</v>
      </c>
      <c r="K485" s="4" t="str">
        <f aca="false">IF(A485="","",PROPER(TRIM(C485)))</f>
        <v>West</v>
      </c>
      <c r="L485" s="4" t="str">
        <f aca="false">IF(A485="","",PROPER(TRIM(D485)))</f>
        <v>Accessories</v>
      </c>
      <c r="M485" s="4" t="n">
        <f aca="false">IFERROR(VALUE(F485),0)</f>
        <v>4</v>
      </c>
      <c r="N485" s="7" t="n">
        <f aca="false">IFERROR(VALUE(SUBSTITUTE(G485,"$","")),0)</f>
        <v>87.74</v>
      </c>
      <c r="O485" s="4" t="n">
        <f aca="false">IF(A485="",0,IF(COUNTIF($A$2:A485,A485)&gt;1,1,0))</f>
        <v>0</v>
      </c>
      <c r="P485" s="4" t="n">
        <f aca="false">IF(AND(A485&lt;&gt;"",J485&lt;&gt;"",M485&gt;0,N485&gt;0,O485=0),1,0)</f>
        <v>1</v>
      </c>
      <c r="Q485" s="7" t="n">
        <f aca="false">IF(P485=1,M485*N485,0)</f>
        <v>350.96</v>
      </c>
    </row>
    <row r="486" customFormat="false" ht="15" hidden="false" customHeight="false" outlineLevel="0" collapsed="false">
      <c r="A486" s="4" t="n">
        <v>10713</v>
      </c>
      <c r="B486" s="4" t="s">
        <v>1270</v>
      </c>
      <c r="C486" s="4" t="s">
        <v>140</v>
      </c>
      <c r="D486" s="4" t="s">
        <v>217</v>
      </c>
      <c r="E486" s="4" t="s">
        <v>243</v>
      </c>
      <c r="F486" s="4" t="n">
        <v>1</v>
      </c>
      <c r="G486" s="4" t="s">
        <v>1271</v>
      </c>
      <c r="H486" s="4" t="s">
        <v>47</v>
      </c>
      <c r="I486" s="4" t="s">
        <v>984</v>
      </c>
      <c r="J486" s="6" t="n">
        <f aca="false">IFERROR(DATEVALUE(B486),"")</f>
        <v>45682</v>
      </c>
      <c r="K486" s="4" t="str">
        <f aca="false">IF(A486="","",PROPER(TRIM(C486)))</f>
        <v>South</v>
      </c>
      <c r="L486" s="4" t="str">
        <f aca="false">IF(A486="","",PROPER(TRIM(D486)))</f>
        <v>Apparel</v>
      </c>
      <c r="M486" s="4" t="n">
        <f aca="false">IFERROR(VALUE(F486),0)</f>
        <v>1</v>
      </c>
      <c r="N486" s="7" t="n">
        <f aca="false">IFERROR(VALUE(SUBSTITUTE(G486,"$","")),0)</f>
        <v>75.39</v>
      </c>
      <c r="O486" s="4" t="n">
        <f aca="false">IF(A486="",0,IF(COUNTIF($A$2:A486,A486)&gt;1,1,0))</f>
        <v>0</v>
      </c>
      <c r="P486" s="4" t="n">
        <f aca="false">IF(AND(A486&lt;&gt;"",J486&lt;&gt;"",M486&gt;0,N486&gt;0,O486=0),1,0)</f>
        <v>1</v>
      </c>
      <c r="Q486" s="7" t="n">
        <f aca="false">IF(P486=1,M486*N486,0)</f>
        <v>75.39</v>
      </c>
    </row>
    <row r="487" customFormat="false" ht="15" hidden="false" customHeight="false" outlineLevel="0" collapsed="false">
      <c r="A487" s="4" t="n">
        <v>10313</v>
      </c>
      <c r="B487" s="4" t="s">
        <v>1108</v>
      </c>
      <c r="C487" s="4" t="s">
        <v>149</v>
      </c>
      <c r="D487" s="4" t="s">
        <v>64</v>
      </c>
      <c r="E487" s="4" t="s">
        <v>77</v>
      </c>
      <c r="F487" s="4" t="n">
        <v>1</v>
      </c>
      <c r="G487" s="4" t="s">
        <v>1109</v>
      </c>
      <c r="H487" s="4" t="s">
        <v>54</v>
      </c>
      <c r="I487" s="4" t="s">
        <v>169</v>
      </c>
      <c r="J487" s="6" t="n">
        <f aca="false">IFERROR(DATEVALUE(B487),"")</f>
        <v>45561</v>
      </c>
      <c r="K487" s="4" t="str">
        <f aca="false">IF(A487="","",PROPER(TRIM(C487)))</f>
        <v>East</v>
      </c>
      <c r="L487" s="4" t="str">
        <f aca="false">IF(A487="","",PROPER(TRIM(D487)))</f>
        <v>Footwear</v>
      </c>
      <c r="M487" s="4" t="n">
        <f aca="false">IFERROR(VALUE(F487),0)</f>
        <v>1</v>
      </c>
      <c r="N487" s="7" t="n">
        <f aca="false">IFERROR(VALUE(SUBSTITUTE(G487,"$","")),0)</f>
        <v>139.63</v>
      </c>
      <c r="O487" s="4" t="n">
        <f aca="false">IF(A487="",0,IF(COUNTIF($A$2:A487,A487)&gt;1,1,0))</f>
        <v>1</v>
      </c>
      <c r="P487" s="4" t="n">
        <f aca="false">IF(AND(A487&lt;&gt;"",J487&lt;&gt;"",M487&gt;0,N487&gt;0,O487=0),1,0)</f>
        <v>0</v>
      </c>
      <c r="Q487" s="7" t="n">
        <f aca="false">IF(P487=1,M487*N487,0)</f>
        <v>0</v>
      </c>
    </row>
    <row r="488" customFormat="false" ht="15" hidden="false" customHeight="false" outlineLevel="0" collapsed="false">
      <c r="A488" s="4" t="n">
        <v>10618</v>
      </c>
      <c r="B488" s="4" t="s">
        <v>1272</v>
      </c>
      <c r="C488" s="4" t="s">
        <v>332</v>
      </c>
      <c r="D488" s="4" t="s">
        <v>387</v>
      </c>
      <c r="E488" s="4" t="s">
        <v>251</v>
      </c>
      <c r="F488" s="4" t="n">
        <v>1</v>
      </c>
      <c r="G488" s="4" t="s">
        <v>1273</v>
      </c>
      <c r="H488" s="4" t="s">
        <v>54</v>
      </c>
      <c r="I488" s="4" t="s">
        <v>1274</v>
      </c>
      <c r="J488" s="6" t="n">
        <f aca="false">IFERROR(DATEVALUE(B488),"")</f>
        <v>45679</v>
      </c>
      <c r="K488" s="4" t="str">
        <f aca="false">IF(A488="","",PROPER(TRIM(C488)))</f>
        <v>West</v>
      </c>
      <c r="L488" s="4" t="str">
        <f aca="false">IF(A488="","",PROPER(TRIM(D488)))</f>
        <v>Camping Gear</v>
      </c>
      <c r="M488" s="4" t="n">
        <f aca="false">IFERROR(VALUE(F488),0)</f>
        <v>1</v>
      </c>
      <c r="N488" s="7" t="n">
        <f aca="false">IFERROR(VALUE(SUBSTITUTE(G488,"$","")),0)</f>
        <v>77.98</v>
      </c>
      <c r="O488" s="4" t="n">
        <f aca="false">IF(A488="",0,IF(COUNTIF($A$2:A488,A488)&gt;1,1,0))</f>
        <v>0</v>
      </c>
      <c r="P488" s="4" t="n">
        <f aca="false">IF(AND(A488&lt;&gt;"",J488&lt;&gt;"",M488&gt;0,N488&gt;0,O488=0),1,0)</f>
        <v>1</v>
      </c>
      <c r="Q488" s="7" t="n">
        <f aca="false">IF(P488=1,M488*N488,0)</f>
        <v>77.98</v>
      </c>
    </row>
    <row r="489" customFormat="false" ht="15" hidden="false" customHeight="false" outlineLevel="0" collapsed="false">
      <c r="A489" s="4" t="n">
        <v>10023</v>
      </c>
      <c r="B489" s="4" t="s">
        <v>1275</v>
      </c>
      <c r="C489" s="4" t="s">
        <v>140</v>
      </c>
      <c r="D489" s="4" t="s">
        <v>230</v>
      </c>
      <c r="E489" s="4" t="s">
        <v>243</v>
      </c>
      <c r="F489" s="4" t="n">
        <v>3</v>
      </c>
      <c r="G489" s="4" t="s">
        <v>1276</v>
      </c>
      <c r="H489" s="4" t="s">
        <v>47</v>
      </c>
      <c r="I489" s="4" t="s">
        <v>1277</v>
      </c>
      <c r="J489" s="6" t="n">
        <f aca="false">IFERROR(DATEVALUE(B489),"")</f>
        <v>45432</v>
      </c>
      <c r="K489" s="4" t="str">
        <f aca="false">IF(A489="","",PROPER(TRIM(C489)))</f>
        <v>South</v>
      </c>
      <c r="L489" s="4" t="str">
        <f aca="false">IF(A489="","",PROPER(TRIM(D489)))</f>
        <v>Apparel</v>
      </c>
      <c r="M489" s="4" t="n">
        <f aca="false">IFERROR(VALUE(F489),0)</f>
        <v>3</v>
      </c>
      <c r="N489" s="7" t="n">
        <f aca="false">IFERROR(VALUE(SUBSTITUTE(G489,"$","")),0)</f>
        <v>70.17</v>
      </c>
      <c r="O489" s="4" t="n">
        <f aca="false">IF(A489="",0,IF(COUNTIF($A$2:A489,A489)&gt;1,1,0))</f>
        <v>0</v>
      </c>
      <c r="P489" s="4" t="n">
        <f aca="false">IF(AND(A489&lt;&gt;"",J489&lt;&gt;"",M489&gt;0,N489&gt;0,O489=0),1,0)</f>
        <v>1</v>
      </c>
      <c r="Q489" s="7" t="n">
        <f aca="false">IF(P489=1,M489*N489,0)</f>
        <v>210.51</v>
      </c>
    </row>
    <row r="490" customFormat="false" ht="15" hidden="false" customHeight="false" outlineLevel="0" collapsed="false">
      <c r="A490" s="4" t="n">
        <v>10575</v>
      </c>
      <c r="B490" s="4" t="s">
        <v>935</v>
      </c>
      <c r="C490" s="4" t="s">
        <v>93</v>
      </c>
      <c r="D490" s="4" t="s">
        <v>333</v>
      </c>
      <c r="E490" s="4" t="s">
        <v>52</v>
      </c>
      <c r="F490" s="4" t="n">
        <v>1</v>
      </c>
      <c r="G490" s="4" t="s">
        <v>1278</v>
      </c>
      <c r="H490" s="4" t="s">
        <v>47</v>
      </c>
      <c r="I490" s="4" t="s">
        <v>783</v>
      </c>
      <c r="J490" s="6" t="n">
        <f aca="false">IFERROR(DATEVALUE(B490),"")</f>
        <v>45355</v>
      </c>
      <c r="K490" s="4" t="str">
        <f aca="false">IF(A490="","",PROPER(TRIM(C490)))</f>
        <v>West</v>
      </c>
      <c r="L490" s="4" t="str">
        <f aca="false">IF(A490="","",PROPER(TRIM(D490)))</f>
        <v>Accessories</v>
      </c>
      <c r="M490" s="4" t="n">
        <f aca="false">IFERROR(VALUE(F490),0)</f>
        <v>1</v>
      </c>
      <c r="N490" s="7" t="n">
        <f aca="false">IFERROR(VALUE(SUBSTITUTE(G490,"$","")),0)</f>
        <v>82.05</v>
      </c>
      <c r="O490" s="4" t="n">
        <f aca="false">IF(A490="",0,IF(COUNTIF($A$2:A490,A490)&gt;1,1,0))</f>
        <v>0</v>
      </c>
      <c r="P490" s="4" t="n">
        <f aca="false">IF(AND(A490&lt;&gt;"",J490&lt;&gt;"",M490&gt;0,N490&gt;0,O490=0),1,0)</f>
        <v>1</v>
      </c>
      <c r="Q490" s="7" t="n">
        <f aca="false">IF(P490=1,M490*N490,0)</f>
        <v>82.05</v>
      </c>
    </row>
    <row r="491" customFormat="false" ht="15" hidden="false" customHeight="false" outlineLevel="0" collapsed="false">
      <c r="A491" s="4" t="n">
        <v>10375</v>
      </c>
      <c r="B491" s="4" t="s">
        <v>1279</v>
      </c>
      <c r="C491" s="4" t="s">
        <v>133</v>
      </c>
      <c r="D491" s="4" t="s">
        <v>387</v>
      </c>
      <c r="E491" s="4" t="s">
        <v>71</v>
      </c>
      <c r="F491" s="4" t="n">
        <v>2</v>
      </c>
      <c r="G491" s="4" t="s">
        <v>1280</v>
      </c>
      <c r="H491" s="4" t="s">
        <v>73</v>
      </c>
      <c r="I491" s="4" t="s">
        <v>944</v>
      </c>
      <c r="J491" s="6" t="n">
        <f aca="false">IFERROR(DATEVALUE(B491),"")</f>
        <v>45744</v>
      </c>
      <c r="K491" s="4" t="str">
        <f aca="false">IF(A491="","",PROPER(TRIM(C491)))</f>
        <v>East</v>
      </c>
      <c r="L491" s="4" t="str">
        <f aca="false">IF(A491="","",PROPER(TRIM(D491)))</f>
        <v>Camping Gear</v>
      </c>
      <c r="M491" s="4" t="n">
        <f aca="false">IFERROR(VALUE(F491),0)</f>
        <v>2</v>
      </c>
      <c r="N491" s="7" t="n">
        <f aca="false">IFERROR(VALUE(SUBSTITUTE(G491,"$","")),0)</f>
        <v>72.25</v>
      </c>
      <c r="O491" s="4" t="n">
        <f aca="false">IF(A491="",0,IF(COUNTIF($A$2:A491,A491)&gt;1,1,0))</f>
        <v>0</v>
      </c>
      <c r="P491" s="4" t="n">
        <f aca="false">IF(AND(A491&lt;&gt;"",J491&lt;&gt;"",M491&gt;0,N491&gt;0,O491=0),1,0)</f>
        <v>1</v>
      </c>
      <c r="Q491" s="7" t="n">
        <f aca="false">IF(P491=1,M491*N491,0)</f>
        <v>144.5</v>
      </c>
    </row>
    <row r="492" customFormat="false" ht="15" hidden="false" customHeight="false" outlineLevel="0" collapsed="false">
      <c r="A492" s="4" t="n">
        <v>10293</v>
      </c>
      <c r="B492" s="4" t="s">
        <v>269</v>
      </c>
      <c r="C492" s="4" t="s">
        <v>187</v>
      </c>
      <c r="D492" s="4" t="s">
        <v>179</v>
      </c>
      <c r="E492" s="4" t="s">
        <v>125</v>
      </c>
      <c r="F492" s="4" t="n">
        <v>4</v>
      </c>
      <c r="G492" s="4" t="s">
        <v>1281</v>
      </c>
      <c r="H492" s="4" t="s">
        <v>73</v>
      </c>
      <c r="I492" s="4" t="s">
        <v>1224</v>
      </c>
      <c r="J492" s="6" t="n">
        <f aca="false">IFERROR(DATEVALUE(B492),"")</f>
        <v>45490</v>
      </c>
      <c r="K492" s="4" t="str">
        <f aca="false">IF(A492="","",PROPER(TRIM(C492)))</f>
        <v>East</v>
      </c>
      <c r="L492" s="4" t="str">
        <f aca="false">IF(A492="","",PROPER(TRIM(D492)))</f>
        <v>Climbing Gear</v>
      </c>
      <c r="M492" s="4" t="n">
        <f aca="false">IFERROR(VALUE(F492),0)</f>
        <v>4</v>
      </c>
      <c r="N492" s="7" t="n">
        <f aca="false">IFERROR(VALUE(SUBSTITUTE(G492,"$","")),0)</f>
        <v>90.81</v>
      </c>
      <c r="O492" s="4" t="n">
        <f aca="false">IF(A492="",0,IF(COUNTIF($A$2:A492,A492)&gt;1,1,0))</f>
        <v>0</v>
      </c>
      <c r="P492" s="4" t="n">
        <f aca="false">IF(AND(A492&lt;&gt;"",J492&lt;&gt;"",M492&gt;0,N492&gt;0,O492=0),1,0)</f>
        <v>1</v>
      </c>
      <c r="Q492" s="7" t="n">
        <f aca="false">IF(P492=1,M492*N492,0)</f>
        <v>363.24</v>
      </c>
    </row>
    <row r="493" customFormat="false" ht="15" hidden="false" customHeight="false" outlineLevel="0" collapsed="false">
      <c r="A493" s="4" t="n">
        <v>10734</v>
      </c>
      <c r="B493" s="4" t="s">
        <v>1282</v>
      </c>
      <c r="C493" s="4" t="s">
        <v>435</v>
      </c>
      <c r="D493" s="4" t="s">
        <v>575</v>
      </c>
      <c r="E493" s="4" t="s">
        <v>210</v>
      </c>
      <c r="F493" s="4" t="n">
        <v>1</v>
      </c>
      <c r="G493" s="4" t="s">
        <v>1283</v>
      </c>
      <c r="H493" s="4" t="s">
        <v>73</v>
      </c>
      <c r="I493" s="4" t="s">
        <v>1284</v>
      </c>
      <c r="J493" s="6" t="n">
        <f aca="false">IFERROR(DATEVALUE(B493),"")</f>
        <v>45735</v>
      </c>
      <c r="K493" s="4" t="str">
        <f aca="false">IF(A493="","",PROPER(TRIM(C493)))</f>
        <v>Midwest</v>
      </c>
      <c r="L493" s="4" t="str">
        <f aca="false">IF(A493="","",PROPER(TRIM(D493)))</f>
        <v>Accessories</v>
      </c>
      <c r="M493" s="4" t="n">
        <f aca="false">IFERROR(VALUE(F493),0)</f>
        <v>1</v>
      </c>
      <c r="N493" s="7" t="n">
        <f aca="false">IFERROR(VALUE(SUBSTITUTE(G493,"$","")),0)</f>
        <v>39.52</v>
      </c>
      <c r="O493" s="4" t="n">
        <f aca="false">IF(A493="",0,IF(COUNTIF($A$2:A493,A493)&gt;1,1,0))</f>
        <v>0</v>
      </c>
      <c r="P493" s="4" t="n">
        <f aca="false">IF(AND(A493&lt;&gt;"",J493&lt;&gt;"",M493&gt;0,N493&gt;0,O493=0),1,0)</f>
        <v>1</v>
      </c>
      <c r="Q493" s="7" t="n">
        <f aca="false">IF(P493=1,M493*N493,0)</f>
        <v>39.52</v>
      </c>
    </row>
    <row r="494" customFormat="false" ht="15" hidden="false" customHeight="false" outlineLevel="0" collapsed="false">
      <c r="A494" s="4" t="n">
        <v>10494</v>
      </c>
      <c r="B494" s="4" t="s">
        <v>410</v>
      </c>
      <c r="C494" s="4" t="s">
        <v>43</v>
      </c>
      <c r="D494" s="4" t="s">
        <v>58</v>
      </c>
      <c r="E494" s="4" t="s">
        <v>94</v>
      </c>
      <c r="F494" s="4" t="n">
        <v>2</v>
      </c>
      <c r="G494" s="4" t="s">
        <v>1285</v>
      </c>
      <c r="H494" s="4" t="s">
        <v>73</v>
      </c>
      <c r="I494" s="4" t="s">
        <v>783</v>
      </c>
      <c r="J494" s="6" t="n">
        <f aca="false">IFERROR(DATEVALUE(B494),"")</f>
        <v>45781</v>
      </c>
      <c r="K494" s="4" t="str">
        <f aca="false">IF(A494="","",PROPER(TRIM(C494)))</f>
        <v>South</v>
      </c>
      <c r="L494" s="4" t="str">
        <f aca="false">IF(A494="","",PROPER(TRIM(D494)))</f>
        <v>Climbing Gear</v>
      </c>
      <c r="M494" s="4" t="n">
        <f aca="false">IFERROR(VALUE(F494),0)</f>
        <v>2</v>
      </c>
      <c r="N494" s="7" t="n">
        <f aca="false">IFERROR(VALUE(SUBSTITUTE(G494,"$","")),0)</f>
        <v>144.35</v>
      </c>
      <c r="O494" s="4" t="n">
        <f aca="false">IF(A494="",0,IF(COUNTIF($A$2:A494,A494)&gt;1,1,0))</f>
        <v>0</v>
      </c>
      <c r="P494" s="4" t="n">
        <f aca="false">IF(AND(A494&lt;&gt;"",J494&lt;&gt;"",M494&gt;0,N494&gt;0,O494=0),1,0)</f>
        <v>1</v>
      </c>
      <c r="Q494" s="7" t="n">
        <f aca="false">IF(P494=1,M494*N494,0)</f>
        <v>288.7</v>
      </c>
    </row>
    <row r="495" customFormat="false" ht="15" hidden="false" customHeight="false" outlineLevel="0" collapsed="false">
      <c r="A495" s="4" t="n">
        <v>10645</v>
      </c>
      <c r="B495" s="4" t="s">
        <v>206</v>
      </c>
      <c r="C495" s="4" t="s">
        <v>133</v>
      </c>
      <c r="D495" s="4" t="s">
        <v>333</v>
      </c>
      <c r="E495" s="4" t="s">
        <v>210</v>
      </c>
      <c r="F495" s="4" t="n">
        <v>1</v>
      </c>
      <c r="G495" s="4" t="s">
        <v>1286</v>
      </c>
      <c r="H495" s="4" t="s">
        <v>73</v>
      </c>
      <c r="I495" s="4" t="s">
        <v>1005</v>
      </c>
      <c r="J495" s="6" t="str">
        <f aca="false">IFERROR(DATEVALUE(B495),"")</f>
        <v/>
      </c>
      <c r="K495" s="4" t="str">
        <f aca="false">IF(A495="","",PROPER(TRIM(C495)))</f>
        <v>East</v>
      </c>
      <c r="L495" s="4" t="str">
        <f aca="false">IF(A495="","",PROPER(TRIM(D495)))</f>
        <v>Accessories</v>
      </c>
      <c r="M495" s="4" t="n">
        <f aca="false">IFERROR(VALUE(F495),0)</f>
        <v>1</v>
      </c>
      <c r="N495" s="7" t="n">
        <f aca="false">IFERROR(VALUE(SUBSTITUTE(G495,"$","")),0)</f>
        <v>34.69</v>
      </c>
      <c r="O495" s="4" t="n">
        <f aca="false">IF(A495="",0,IF(COUNTIF($A$2:A495,A495)&gt;1,1,0))</f>
        <v>0</v>
      </c>
      <c r="P495" s="4" t="n">
        <f aca="false">IF(AND(A495&lt;&gt;"",J495&lt;&gt;"",M495&gt;0,N495&gt;0,O495=0),1,0)</f>
        <v>0</v>
      </c>
      <c r="Q495" s="7" t="n">
        <f aca="false">IF(P495=1,M495*N495,0)</f>
        <v>0</v>
      </c>
    </row>
    <row r="496" customFormat="false" ht="15" hidden="false" customHeight="false" outlineLevel="0" collapsed="false">
      <c r="A496" s="4" t="n">
        <v>10542</v>
      </c>
      <c r="B496" s="4" t="s">
        <v>1287</v>
      </c>
      <c r="C496" s="4" t="s">
        <v>93</v>
      </c>
      <c r="D496" s="4" t="s">
        <v>81</v>
      </c>
      <c r="E496" s="4" t="s">
        <v>111</v>
      </c>
      <c r="F496" s="4" t="n">
        <v>2</v>
      </c>
      <c r="G496" s="4" t="s">
        <v>1288</v>
      </c>
      <c r="H496" s="4" t="s">
        <v>73</v>
      </c>
      <c r="I496" s="4" t="s">
        <v>1026</v>
      </c>
      <c r="J496" s="6" t="n">
        <f aca="false">IFERROR(DATEVALUE(B496),"")</f>
        <v>45754</v>
      </c>
      <c r="K496" s="4" t="str">
        <f aca="false">IF(A496="","",PROPER(TRIM(C496)))</f>
        <v>West</v>
      </c>
      <c r="L496" s="4" t="str">
        <f aca="false">IF(A496="","",PROPER(TRIM(D496)))</f>
        <v>Footwear</v>
      </c>
      <c r="M496" s="4" t="n">
        <f aca="false">IFERROR(VALUE(F496),0)</f>
        <v>2</v>
      </c>
      <c r="N496" s="7" t="n">
        <f aca="false">IFERROR(VALUE(SUBSTITUTE(G496,"$","")),0)</f>
        <v>82.56</v>
      </c>
      <c r="O496" s="4" t="n">
        <f aca="false">IF(A496="",0,IF(COUNTIF($A$2:A496,A496)&gt;1,1,0))</f>
        <v>0</v>
      </c>
      <c r="P496" s="4" t="n">
        <f aca="false">IF(AND(A496&lt;&gt;"",J496&lt;&gt;"",M496&gt;0,N496&gt;0,O496=0),1,0)</f>
        <v>1</v>
      </c>
      <c r="Q496" s="7" t="n">
        <f aca="false">IF(P496=1,M496*N496,0)</f>
        <v>165.12</v>
      </c>
    </row>
    <row r="497" customFormat="false" ht="15" hidden="false" customHeight="false" outlineLevel="0" collapsed="false">
      <c r="A497" s="4" t="n">
        <v>10281</v>
      </c>
      <c r="B497" s="4" t="s">
        <v>679</v>
      </c>
      <c r="C497" s="4" t="s">
        <v>50</v>
      </c>
      <c r="D497" s="4" t="s">
        <v>88</v>
      </c>
      <c r="E497" s="4" t="s">
        <v>142</v>
      </c>
      <c r="F497" s="4" t="n">
        <v>3</v>
      </c>
      <c r="G497" s="4" t="s">
        <v>680</v>
      </c>
      <c r="H497" s="4" t="s">
        <v>73</v>
      </c>
      <c r="I497" s="4" t="s">
        <v>681</v>
      </c>
      <c r="J497" s="6" t="n">
        <f aca="false">IFERROR(DATEVALUE(B497),"")</f>
        <v>45572</v>
      </c>
      <c r="K497" s="4" t="str">
        <f aca="false">IF(A497="","",PROPER(TRIM(C497)))</f>
        <v>Midwest</v>
      </c>
      <c r="L497" s="4" t="str">
        <f aca="false">IF(A497="","",PROPER(TRIM(D497)))</f>
        <v>Apparel</v>
      </c>
      <c r="M497" s="4" t="n">
        <f aca="false">IFERROR(VALUE(F497),0)</f>
        <v>3</v>
      </c>
      <c r="N497" s="7" t="n">
        <f aca="false">IFERROR(VALUE(SUBSTITUTE(G497,"$","")),0)</f>
        <v>166.03</v>
      </c>
      <c r="O497" s="4" t="n">
        <f aca="false">IF(A497="",0,IF(COUNTIF($A$2:A497,A497)&gt;1,1,0))</f>
        <v>1</v>
      </c>
      <c r="P497" s="4" t="n">
        <f aca="false">IF(AND(A497&lt;&gt;"",J497&lt;&gt;"",M497&gt;0,N497&gt;0,O497=0),1,0)</f>
        <v>0</v>
      </c>
      <c r="Q497" s="7" t="n">
        <f aca="false">IF(P497=1,M497*N497,0)</f>
        <v>0</v>
      </c>
    </row>
    <row r="498" customFormat="false" ht="15" hidden="false" customHeight="false" outlineLevel="0" collapsed="false">
      <c r="A498" s="4" t="n">
        <v>10071</v>
      </c>
      <c r="B498" s="4" t="s">
        <v>1289</v>
      </c>
      <c r="C498" s="4" t="s">
        <v>541</v>
      </c>
      <c r="D498" s="4" t="s">
        <v>333</v>
      </c>
      <c r="E498" s="4" t="s">
        <v>45</v>
      </c>
      <c r="F498" s="4" t="n">
        <v>2</v>
      </c>
      <c r="G498" s="4" t="s">
        <v>1290</v>
      </c>
      <c r="H498" s="4" t="s">
        <v>73</v>
      </c>
      <c r="I498" s="4" t="s">
        <v>696</v>
      </c>
      <c r="J498" s="6" t="n">
        <f aca="false">IFERROR(DATEVALUE(B498),"")</f>
        <v>45623</v>
      </c>
      <c r="K498" s="4" t="str">
        <f aca="false">IF(A498="","",PROPER(TRIM(C498)))</f>
        <v>West</v>
      </c>
      <c r="L498" s="4" t="str">
        <f aca="false">IF(A498="","",PROPER(TRIM(D498)))</f>
        <v>Accessories</v>
      </c>
      <c r="M498" s="4" t="n">
        <f aca="false">IFERROR(VALUE(F498),0)</f>
        <v>2</v>
      </c>
      <c r="N498" s="7" t="n">
        <f aca="false">IFERROR(VALUE(SUBSTITUTE(G498,"$","")),0)</f>
        <v>53.34</v>
      </c>
      <c r="O498" s="4" t="n">
        <f aca="false">IF(A498="",0,IF(COUNTIF($A$2:A498,A498)&gt;1,1,0))</f>
        <v>0</v>
      </c>
      <c r="P498" s="4" t="n">
        <f aca="false">IF(AND(A498&lt;&gt;"",J498&lt;&gt;"",M498&gt;0,N498&gt;0,O498=0),1,0)</f>
        <v>1</v>
      </c>
      <c r="Q498" s="7" t="n">
        <f aca="false">IF(P498=1,M498*N498,0)</f>
        <v>106.68</v>
      </c>
    </row>
    <row r="499" customFormat="false" ht="15" hidden="false" customHeight="false" outlineLevel="0" collapsed="false">
      <c r="A499" s="4" t="n">
        <v>10416</v>
      </c>
      <c r="B499" s="4" t="s">
        <v>888</v>
      </c>
      <c r="C499" s="4" t="s">
        <v>50</v>
      </c>
      <c r="D499" s="4" t="s">
        <v>281</v>
      </c>
      <c r="E499" s="4" t="s">
        <v>203</v>
      </c>
      <c r="F499" s="4" t="n">
        <v>1</v>
      </c>
      <c r="G499" s="4" t="s">
        <v>1291</v>
      </c>
      <c r="H499" s="4" t="s">
        <v>54</v>
      </c>
      <c r="I499" s="4" t="s">
        <v>1292</v>
      </c>
      <c r="J499" s="6" t="n">
        <f aca="false">IFERROR(DATEVALUE(B499),"")</f>
        <v>45807</v>
      </c>
      <c r="K499" s="4" t="str">
        <f aca="false">IF(A499="","",PROPER(TRIM(C499)))</f>
        <v>Midwest</v>
      </c>
      <c r="L499" s="4" t="str">
        <f aca="false">IF(A499="","",PROPER(TRIM(D499)))</f>
        <v>Camping Gear</v>
      </c>
      <c r="M499" s="4" t="n">
        <f aca="false">IFERROR(VALUE(F499),0)</f>
        <v>1</v>
      </c>
      <c r="N499" s="7" t="n">
        <f aca="false">IFERROR(VALUE(SUBSTITUTE(G499,"$","")),0)</f>
        <v>215.4</v>
      </c>
      <c r="O499" s="4" t="n">
        <f aca="false">IF(A499="",0,IF(COUNTIF($A$2:A499,A499)&gt;1,1,0))</f>
        <v>0</v>
      </c>
      <c r="P499" s="4" t="n">
        <f aca="false">IF(AND(A499&lt;&gt;"",J499&lt;&gt;"",M499&gt;0,N499&gt;0,O499=0),1,0)</f>
        <v>1</v>
      </c>
      <c r="Q499" s="7" t="n">
        <f aca="false">IF(P499=1,M499*N499,0)</f>
        <v>215.4</v>
      </c>
    </row>
    <row r="500" customFormat="false" ht="15" hidden="false" customHeight="false" outlineLevel="0" collapsed="false">
      <c r="A500" s="4" t="n">
        <v>10706</v>
      </c>
      <c r="B500" s="4" t="s">
        <v>884</v>
      </c>
      <c r="C500" s="4" t="s">
        <v>315</v>
      </c>
      <c r="D500" s="4" t="s">
        <v>230</v>
      </c>
      <c r="E500" s="4" t="s">
        <v>142</v>
      </c>
      <c r="F500" s="4" t="n">
        <v>2</v>
      </c>
      <c r="G500" s="4" t="s">
        <v>885</v>
      </c>
      <c r="H500" s="4" t="s">
        <v>47</v>
      </c>
      <c r="I500" s="4" t="s">
        <v>422</v>
      </c>
      <c r="J500" s="6" t="n">
        <f aca="false">IFERROR(DATEVALUE(B500),"")</f>
        <v>45710</v>
      </c>
      <c r="K500" s="4" t="str">
        <f aca="false">IF(A500="","",PROPER(TRIM(C500)))</f>
        <v>South</v>
      </c>
      <c r="L500" s="4" t="str">
        <f aca="false">IF(A500="","",PROPER(TRIM(D500)))</f>
        <v>Apparel</v>
      </c>
      <c r="M500" s="4" t="n">
        <f aca="false">IFERROR(VALUE(F500),0)</f>
        <v>2</v>
      </c>
      <c r="N500" s="7" t="n">
        <f aca="false">IFERROR(VALUE(SUBSTITUTE(G500,"$","")),0)</f>
        <v>193.41</v>
      </c>
      <c r="O500" s="4" t="n">
        <f aca="false">IF(A500="",0,IF(COUNTIF($A$2:A500,A500)&gt;1,1,0))</f>
        <v>1</v>
      </c>
      <c r="P500" s="4" t="n">
        <f aca="false">IF(AND(A500&lt;&gt;"",J500&lt;&gt;"",M500&gt;0,N500&gt;0,O500=0),1,0)</f>
        <v>0</v>
      </c>
      <c r="Q500" s="7" t="n">
        <f aca="false">IF(P500=1,M500*N500,0)</f>
        <v>0</v>
      </c>
    </row>
    <row r="501" customFormat="false" ht="15" hidden="false" customHeight="false" outlineLevel="0" collapsed="false">
      <c r="A501" s="4" t="n">
        <v>10215</v>
      </c>
      <c r="B501" s="4" t="s">
        <v>1293</v>
      </c>
      <c r="C501" s="4" t="s">
        <v>133</v>
      </c>
      <c r="D501" s="4" t="s">
        <v>115</v>
      </c>
      <c r="E501" s="4" t="s">
        <v>116</v>
      </c>
      <c r="F501" s="4" t="n">
        <v>1</v>
      </c>
      <c r="G501" s="4" t="s">
        <v>1294</v>
      </c>
      <c r="H501" s="4" t="s">
        <v>54</v>
      </c>
      <c r="I501" s="4" t="s">
        <v>1295</v>
      </c>
      <c r="J501" s="6" t="n">
        <f aca="false">IFERROR(DATEVALUE(B501),"")</f>
        <v>45711</v>
      </c>
      <c r="K501" s="4" t="str">
        <f aca="false">IF(A501="","",PROPER(TRIM(C501)))</f>
        <v>East</v>
      </c>
      <c r="L501" s="4" t="str">
        <f aca="false">IF(A501="","",PROPER(TRIM(D501)))</f>
        <v>Apparel</v>
      </c>
      <c r="M501" s="4" t="n">
        <f aca="false">IFERROR(VALUE(F501),0)</f>
        <v>1</v>
      </c>
      <c r="N501" s="7" t="n">
        <f aca="false">IFERROR(VALUE(SUBSTITUTE(G501,"$","")),0)</f>
        <v>76.31</v>
      </c>
      <c r="O501" s="4" t="n">
        <f aca="false">IF(A501="",0,IF(COUNTIF($A$2:A501,A501)&gt;1,1,0))</f>
        <v>0</v>
      </c>
      <c r="P501" s="4" t="n">
        <f aca="false">IF(AND(A501&lt;&gt;"",J501&lt;&gt;"",M501&gt;0,N501&gt;0,O501=0),1,0)</f>
        <v>1</v>
      </c>
      <c r="Q501" s="7" t="n">
        <f aca="false">IF(P501=1,M501*N501,0)</f>
        <v>76.31</v>
      </c>
    </row>
    <row r="502" customFormat="false" ht="15" hidden="false" customHeight="false" outlineLevel="0" collapsed="false">
      <c r="A502" s="4" t="n">
        <v>10356</v>
      </c>
      <c r="B502" s="4" t="s">
        <v>732</v>
      </c>
      <c r="C502" s="4" t="s">
        <v>155</v>
      </c>
      <c r="D502" s="4" t="s">
        <v>141</v>
      </c>
      <c r="E502" s="4" t="s">
        <v>89</v>
      </c>
      <c r="F502" s="4" t="n">
        <v>1</v>
      </c>
      <c r="G502" s="4" t="s">
        <v>1296</v>
      </c>
      <c r="H502" s="4" t="s">
        <v>47</v>
      </c>
      <c r="I502" s="4" t="s">
        <v>898</v>
      </c>
      <c r="J502" s="6" t="n">
        <f aca="false">IFERROR(DATEVALUE(B502),"")</f>
        <v>45520</v>
      </c>
      <c r="K502" s="4" t="str">
        <f aca="false">IF(A502="","",PROPER(TRIM(C502)))</f>
        <v>South</v>
      </c>
      <c r="L502" s="4" t="str">
        <f aca="false">IF(A502="","",PROPER(TRIM(D502)))</f>
        <v>Apparel</v>
      </c>
      <c r="M502" s="4" t="n">
        <f aca="false">IFERROR(VALUE(F502),0)</f>
        <v>1</v>
      </c>
      <c r="N502" s="7" t="n">
        <f aca="false">IFERROR(VALUE(SUBSTITUTE(G502,"$","")),0)</f>
        <v>67.58</v>
      </c>
      <c r="O502" s="4" t="n">
        <f aca="false">IF(A502="",0,IF(COUNTIF($A$2:A502,A502)&gt;1,1,0))</f>
        <v>0</v>
      </c>
      <c r="P502" s="4" t="n">
        <f aca="false">IF(AND(A502&lt;&gt;"",J502&lt;&gt;"",M502&gt;0,N502&gt;0,O502=0),1,0)</f>
        <v>1</v>
      </c>
      <c r="Q502" s="7" t="n">
        <f aca="false">IF(P502=1,M502*N502,0)</f>
        <v>67.58</v>
      </c>
    </row>
    <row r="503" customFormat="false" ht="15" hidden="false" customHeight="false" outlineLevel="0" collapsed="false">
      <c r="A503" s="4" t="n">
        <v>10060</v>
      </c>
      <c r="B503" s="4" t="s">
        <v>1297</v>
      </c>
      <c r="C503" s="4" t="s">
        <v>332</v>
      </c>
      <c r="D503" s="4" t="s">
        <v>225</v>
      </c>
      <c r="E503" s="4" t="s">
        <v>210</v>
      </c>
      <c r="F503" s="4" t="n">
        <v>1</v>
      </c>
      <c r="G503" s="4" t="s">
        <v>1298</v>
      </c>
      <c r="H503" s="4" t="s">
        <v>47</v>
      </c>
      <c r="I503" s="4" t="s">
        <v>338</v>
      </c>
      <c r="J503" s="6" t="n">
        <f aca="false">IFERROR(DATEVALUE(B503),"")</f>
        <v>45728</v>
      </c>
      <c r="K503" s="4" t="str">
        <f aca="false">IF(A503="","",PROPER(TRIM(C503)))</f>
        <v>West</v>
      </c>
      <c r="L503" s="4" t="str">
        <f aca="false">IF(A503="","",PROPER(TRIM(D503)))</f>
        <v>Accessories</v>
      </c>
      <c r="M503" s="4" t="n">
        <f aca="false">IFERROR(VALUE(F503),0)</f>
        <v>1</v>
      </c>
      <c r="N503" s="7" t="n">
        <f aca="false">IFERROR(VALUE(SUBSTITUTE(G503,"$","")),0)</f>
        <v>32.9</v>
      </c>
      <c r="O503" s="4" t="n">
        <f aca="false">IF(A503="",0,IF(COUNTIF($A$2:A503,A503)&gt;1,1,0))</f>
        <v>0</v>
      </c>
      <c r="P503" s="4" t="n">
        <f aca="false">IF(AND(A503&lt;&gt;"",J503&lt;&gt;"",M503&gt;0,N503&gt;0,O503=0),1,0)</f>
        <v>1</v>
      </c>
      <c r="Q503" s="7" t="n">
        <f aca="false">IF(P503=1,M503*N503,0)</f>
        <v>32.9</v>
      </c>
    </row>
    <row r="504" customFormat="false" ht="15" hidden="false" customHeight="false" outlineLevel="0" collapsed="false">
      <c r="A504" s="4" t="n">
        <v>10189</v>
      </c>
      <c r="B504" s="4" t="s">
        <v>1299</v>
      </c>
      <c r="C504" s="4" t="s">
        <v>183</v>
      </c>
      <c r="D504" s="4" t="s">
        <v>64</v>
      </c>
      <c r="E504" s="4" t="s">
        <v>65</v>
      </c>
      <c r="F504" s="4" t="n">
        <v>4</v>
      </c>
      <c r="G504" s="4" t="s">
        <v>1300</v>
      </c>
      <c r="H504" s="4" t="s">
        <v>47</v>
      </c>
      <c r="I504" s="4" t="s">
        <v>789</v>
      </c>
      <c r="J504" s="6" t="n">
        <f aca="false">IFERROR(DATEVALUE(B504),"")</f>
        <v>45627</v>
      </c>
      <c r="K504" s="4" t="str">
        <f aca="false">IF(A504="","",PROPER(TRIM(C504)))</f>
        <v>West</v>
      </c>
      <c r="L504" s="4" t="str">
        <f aca="false">IF(A504="","",PROPER(TRIM(D504)))</f>
        <v>Footwear</v>
      </c>
      <c r="M504" s="4" t="n">
        <f aca="false">IFERROR(VALUE(F504),0)</f>
        <v>4</v>
      </c>
      <c r="N504" s="7" t="n">
        <f aca="false">IFERROR(VALUE(SUBSTITUTE(G504,"$","")),0)</f>
        <v>50.86</v>
      </c>
      <c r="O504" s="4" t="n">
        <f aca="false">IF(A504="",0,IF(COUNTIF($A$2:A504,A504)&gt;1,1,0))</f>
        <v>0</v>
      </c>
      <c r="P504" s="4" t="n">
        <f aca="false">IF(AND(A504&lt;&gt;"",J504&lt;&gt;"",M504&gt;0,N504&gt;0,O504=0),1,0)</f>
        <v>1</v>
      </c>
      <c r="Q504" s="7" t="n">
        <f aca="false">IF(P504=1,M504*N504,0)</f>
        <v>203.44</v>
      </c>
    </row>
    <row r="505" customFormat="false" ht="15" hidden="false" customHeight="false" outlineLevel="0" collapsed="false">
      <c r="A505" s="4" t="n">
        <v>10136</v>
      </c>
      <c r="B505" s="4" t="s">
        <v>453</v>
      </c>
      <c r="C505" s="4" t="s">
        <v>133</v>
      </c>
      <c r="D505" s="4" t="s">
        <v>124</v>
      </c>
      <c r="E505" s="4" t="s">
        <v>94</v>
      </c>
      <c r="F505" s="4" t="n">
        <v>2</v>
      </c>
      <c r="G505" s="4" t="s">
        <v>1301</v>
      </c>
      <c r="H505" s="4" t="s">
        <v>47</v>
      </c>
      <c r="I505" s="4" t="s">
        <v>864</v>
      </c>
      <c r="J505" s="6" t="n">
        <f aca="false">IFERROR(DATEVALUE(B505),"")</f>
        <v>45564</v>
      </c>
      <c r="K505" s="4" t="str">
        <f aca="false">IF(A505="","",PROPER(TRIM(C505)))</f>
        <v>East</v>
      </c>
      <c r="L505" s="4" t="str">
        <f aca="false">IF(A505="","",PROPER(TRIM(D505)))</f>
        <v>Climbing Gear</v>
      </c>
      <c r="M505" s="4" t="n">
        <f aca="false">IFERROR(VALUE(F505),0)</f>
        <v>2</v>
      </c>
      <c r="N505" s="7" t="n">
        <f aca="false">IFERROR(VALUE(SUBSTITUTE(G505,"$","")),0)</f>
        <v>178.87</v>
      </c>
      <c r="O505" s="4" t="n">
        <f aca="false">IF(A505="",0,IF(COUNTIF($A$2:A505,A505)&gt;1,1,0))</f>
        <v>0</v>
      </c>
      <c r="P505" s="4" t="n">
        <f aca="false">IF(AND(A505&lt;&gt;"",J505&lt;&gt;"",M505&gt;0,N505&gt;0,O505=0),1,0)</f>
        <v>1</v>
      </c>
      <c r="Q505" s="7" t="n">
        <f aca="false">IF(P505=1,M505*N505,0)</f>
        <v>357.74</v>
      </c>
    </row>
    <row r="506" customFormat="false" ht="15" hidden="false" customHeight="false" outlineLevel="0" collapsed="false">
      <c r="A506" s="4" t="n">
        <v>10232</v>
      </c>
      <c r="B506" s="4" t="s">
        <v>1302</v>
      </c>
      <c r="C506" s="4" t="s">
        <v>224</v>
      </c>
      <c r="D506" s="4" t="s">
        <v>44</v>
      </c>
      <c r="E506" s="4" t="s">
        <v>52</v>
      </c>
      <c r="F506" s="4" t="n">
        <v>3</v>
      </c>
      <c r="G506" s="4" t="s">
        <v>1303</v>
      </c>
      <c r="H506" s="4" t="s">
        <v>54</v>
      </c>
      <c r="I506" s="4" t="s">
        <v>1304</v>
      </c>
      <c r="J506" s="6" t="n">
        <f aca="false">IFERROR(DATEVALUE(B506),"")</f>
        <v>45593</v>
      </c>
      <c r="K506" s="4" t="str">
        <f aca="false">IF(A506="","",PROPER(TRIM(C506)))</f>
        <v>East</v>
      </c>
      <c r="L506" s="4" t="str">
        <f aca="false">IF(A506="","",PROPER(TRIM(D506)))</f>
        <v>Accessories</v>
      </c>
      <c r="M506" s="4" t="n">
        <f aca="false">IFERROR(VALUE(F506),0)</f>
        <v>3</v>
      </c>
      <c r="N506" s="7" t="n">
        <f aca="false">IFERROR(VALUE(SUBSTITUTE(G506,"$","")),0)</f>
        <v>87.08</v>
      </c>
      <c r="O506" s="4" t="n">
        <f aca="false">IF(A506="",0,IF(COUNTIF($A$2:A506,A506)&gt;1,1,0))</f>
        <v>0</v>
      </c>
      <c r="P506" s="4" t="n">
        <f aca="false">IF(AND(A506&lt;&gt;"",J506&lt;&gt;"",M506&gt;0,N506&gt;0,O506=0),1,0)</f>
        <v>1</v>
      </c>
      <c r="Q506" s="7" t="n">
        <f aca="false">IF(P506=1,M506*N506,0)</f>
        <v>261.24</v>
      </c>
    </row>
    <row r="507" customFormat="false" ht="15" hidden="false" customHeight="false" outlineLevel="0" collapsed="false">
      <c r="A507" s="4" t="n">
        <v>10487</v>
      </c>
      <c r="B507" s="4" t="s">
        <v>1002</v>
      </c>
      <c r="C507" s="4" t="s">
        <v>50</v>
      </c>
      <c r="D507" s="4" t="s">
        <v>101</v>
      </c>
      <c r="E507" s="4" t="s">
        <v>52</v>
      </c>
      <c r="F507" s="4" t="n">
        <v>4</v>
      </c>
      <c r="G507" s="4" t="s">
        <v>1003</v>
      </c>
      <c r="H507" s="4" t="s">
        <v>54</v>
      </c>
      <c r="I507" s="4" t="s">
        <v>508</v>
      </c>
      <c r="J507" s="6" t="n">
        <f aca="false">IFERROR(DATEVALUE(B507),"")</f>
        <v>45381</v>
      </c>
      <c r="K507" s="4" t="str">
        <f aca="false">IF(A507="","",PROPER(TRIM(C507)))</f>
        <v>Midwest</v>
      </c>
      <c r="L507" s="4" t="str">
        <f aca="false">IF(A507="","",PROPER(TRIM(D507)))</f>
        <v>Accessories</v>
      </c>
      <c r="M507" s="4" t="n">
        <f aca="false">IFERROR(VALUE(F507),0)</f>
        <v>4</v>
      </c>
      <c r="N507" s="7" t="n">
        <f aca="false">IFERROR(VALUE(SUBSTITUTE(G507,"$","")),0)</f>
        <v>85.07</v>
      </c>
      <c r="O507" s="4" t="n">
        <f aca="false">IF(A507="",0,IF(COUNTIF($A$2:A507,A507)&gt;1,1,0))</f>
        <v>1</v>
      </c>
      <c r="P507" s="4" t="n">
        <f aca="false">IF(AND(A507&lt;&gt;"",J507&lt;&gt;"",M507&gt;0,N507&gt;0,O507=0),1,0)</f>
        <v>0</v>
      </c>
      <c r="Q507" s="7" t="n">
        <f aca="false">IF(P507=1,M507*N507,0)</f>
        <v>0</v>
      </c>
    </row>
    <row r="508" customFormat="false" ht="15" hidden="false" customHeight="false" outlineLevel="0" collapsed="false">
      <c r="A508" s="4" t="n">
        <v>10167</v>
      </c>
      <c r="B508" s="4" t="s">
        <v>1305</v>
      </c>
      <c r="C508" s="4" t="s">
        <v>105</v>
      </c>
      <c r="D508" s="4" t="s">
        <v>88</v>
      </c>
      <c r="E508" s="4" t="s">
        <v>243</v>
      </c>
      <c r="F508" s="4" t="n">
        <v>1</v>
      </c>
      <c r="G508" s="4" t="s">
        <v>1306</v>
      </c>
      <c r="H508" s="4" t="s">
        <v>73</v>
      </c>
      <c r="I508" s="4" t="s">
        <v>1112</v>
      </c>
      <c r="J508" s="6" t="n">
        <f aca="false">IFERROR(DATEVALUE(B508),"")</f>
        <v>45667</v>
      </c>
      <c r="K508" s="4" t="str">
        <f aca="false">IF(A508="","",PROPER(TRIM(C508)))</f>
        <v>Midwest</v>
      </c>
      <c r="L508" s="4" t="str">
        <f aca="false">IF(A508="","",PROPER(TRIM(D508)))</f>
        <v>Apparel</v>
      </c>
      <c r="M508" s="4" t="n">
        <f aca="false">IFERROR(VALUE(F508),0)</f>
        <v>1</v>
      </c>
      <c r="N508" s="7" t="n">
        <f aca="false">IFERROR(VALUE(SUBSTITUTE(G508,"$","")),0)</f>
        <v>70.8</v>
      </c>
      <c r="O508" s="4" t="n">
        <f aca="false">IF(A508="",0,IF(COUNTIF($A$2:A508,A508)&gt;1,1,0))</f>
        <v>0</v>
      </c>
      <c r="P508" s="4" t="n">
        <f aca="false">IF(AND(A508&lt;&gt;"",J508&lt;&gt;"",M508&gt;0,N508&gt;0,O508=0),1,0)</f>
        <v>1</v>
      </c>
      <c r="Q508" s="7" t="n">
        <f aca="false">IF(P508=1,M508*N508,0)</f>
        <v>70.8</v>
      </c>
    </row>
    <row r="509" customFormat="false" ht="15" hidden="false" customHeight="false" outlineLevel="0" collapsed="false">
      <c r="A509" s="4" t="n">
        <v>10251</v>
      </c>
      <c r="B509" s="4" t="s">
        <v>924</v>
      </c>
      <c r="C509" s="4" t="s">
        <v>133</v>
      </c>
      <c r="D509" s="4" t="s">
        <v>387</v>
      </c>
      <c r="E509" s="4" t="s">
        <v>71</v>
      </c>
      <c r="F509" s="4" t="n">
        <v>1</v>
      </c>
      <c r="G509" s="4" t="s">
        <v>1307</v>
      </c>
      <c r="H509" s="4" t="s">
        <v>47</v>
      </c>
      <c r="I509" s="4" t="s">
        <v>1171</v>
      </c>
      <c r="J509" s="6" t="n">
        <f aca="false">IFERROR(DATEVALUE(B509),"")</f>
        <v>45663</v>
      </c>
      <c r="K509" s="4" t="str">
        <f aca="false">IF(A509="","",PROPER(TRIM(C509)))</f>
        <v>East</v>
      </c>
      <c r="L509" s="4" t="str">
        <f aca="false">IF(A509="","",PROPER(TRIM(D509)))</f>
        <v>Camping Gear</v>
      </c>
      <c r="M509" s="4" t="n">
        <f aca="false">IFERROR(VALUE(F509),0)</f>
        <v>1</v>
      </c>
      <c r="N509" s="7" t="n">
        <f aca="false">IFERROR(VALUE(SUBSTITUTE(G509,"$","")),0)</f>
        <v>74.05</v>
      </c>
      <c r="O509" s="4" t="n">
        <f aca="false">IF(A509="",0,IF(COUNTIF($A$2:A509,A509)&gt;1,1,0))</f>
        <v>0</v>
      </c>
      <c r="P509" s="4" t="n">
        <f aca="false">IF(AND(A509&lt;&gt;"",J509&lt;&gt;"",M509&gt;0,N509&gt;0,O509=0),1,0)</f>
        <v>1</v>
      </c>
      <c r="Q509" s="7" t="n">
        <f aca="false">IF(P509=1,M509*N509,0)</f>
        <v>74.05</v>
      </c>
    </row>
    <row r="510" customFormat="false" ht="15" hidden="false" customHeight="false" outlineLevel="0" collapsed="false">
      <c r="A510" s="4" t="n">
        <v>10526</v>
      </c>
      <c r="B510" s="4" t="s">
        <v>1110</v>
      </c>
      <c r="C510" s="4" t="s">
        <v>133</v>
      </c>
      <c r="D510" s="4" t="s">
        <v>230</v>
      </c>
      <c r="E510" s="4" t="s">
        <v>142</v>
      </c>
      <c r="F510" s="4" t="n">
        <v>2</v>
      </c>
      <c r="G510" s="4" t="s">
        <v>1111</v>
      </c>
      <c r="H510" s="4" t="s">
        <v>47</v>
      </c>
      <c r="I510" s="4" t="s">
        <v>1112</v>
      </c>
      <c r="J510" s="6" t="n">
        <f aca="false">IFERROR(DATEVALUE(B510),"")</f>
        <v>45501</v>
      </c>
      <c r="K510" s="4" t="str">
        <f aca="false">IF(A510="","",PROPER(TRIM(C510)))</f>
        <v>East</v>
      </c>
      <c r="L510" s="4" t="str">
        <f aca="false">IF(A510="","",PROPER(TRIM(D510)))</f>
        <v>Apparel</v>
      </c>
      <c r="M510" s="4" t="n">
        <f aca="false">IFERROR(VALUE(F510),0)</f>
        <v>2</v>
      </c>
      <c r="N510" s="7" t="n">
        <f aca="false">IFERROR(VALUE(SUBSTITUTE(G510,"$","")),0)</f>
        <v>205.67</v>
      </c>
      <c r="O510" s="4" t="n">
        <f aca="false">IF(A510="",0,IF(COUNTIF($A$2:A510,A510)&gt;1,1,0))</f>
        <v>1</v>
      </c>
      <c r="P510" s="4" t="n">
        <f aca="false">IF(AND(A510&lt;&gt;"",J510&lt;&gt;"",M510&gt;0,N510&gt;0,O510=0),1,0)</f>
        <v>0</v>
      </c>
      <c r="Q510" s="7" t="n">
        <f aca="false">IF(P510=1,M510*N510,0)</f>
        <v>0</v>
      </c>
    </row>
    <row r="511" customFormat="false" ht="15" hidden="false" customHeight="false" outlineLevel="0" collapsed="false">
      <c r="A511" s="4" t="n">
        <v>10137</v>
      </c>
      <c r="B511" s="4" t="s">
        <v>416</v>
      </c>
      <c r="C511" s="4" t="s">
        <v>110</v>
      </c>
      <c r="D511" s="4" t="s">
        <v>225</v>
      </c>
      <c r="E511" s="4" t="s">
        <v>45</v>
      </c>
      <c r="F511" s="4" t="n">
        <v>4</v>
      </c>
      <c r="G511" s="4" t="s">
        <v>417</v>
      </c>
      <c r="H511" s="4" t="s">
        <v>54</v>
      </c>
      <c r="I511" s="4" t="s">
        <v>86</v>
      </c>
      <c r="J511" s="6" t="n">
        <f aca="false">IFERROR(DATEVALUE(B511),"")</f>
        <v>45542</v>
      </c>
      <c r="K511" s="4" t="str">
        <f aca="false">IF(A511="","",PROPER(TRIM(C511)))</f>
        <v>Midwest</v>
      </c>
      <c r="L511" s="4" t="str">
        <f aca="false">IF(A511="","",PROPER(TRIM(D511)))</f>
        <v>Accessories</v>
      </c>
      <c r="M511" s="4" t="n">
        <f aca="false">IFERROR(VALUE(F511),0)</f>
        <v>4</v>
      </c>
      <c r="N511" s="7" t="n">
        <f aca="false">IFERROR(VALUE(SUBSTITUTE(G511,"$","")),0)</f>
        <v>46.5</v>
      </c>
      <c r="O511" s="4" t="n">
        <f aca="false">IF(A511="",0,IF(COUNTIF($A$2:A511,A511)&gt;1,1,0))</f>
        <v>1</v>
      </c>
      <c r="P511" s="4" t="n">
        <f aca="false">IF(AND(A511&lt;&gt;"",J511&lt;&gt;"",M511&gt;0,N511&gt;0,O511=0),1,0)</f>
        <v>0</v>
      </c>
      <c r="Q511" s="7" t="n">
        <f aca="false">IF(P511=1,M511*N511,0)</f>
        <v>0</v>
      </c>
    </row>
    <row r="512" customFormat="false" ht="15" hidden="false" customHeight="false" outlineLevel="0" collapsed="false">
      <c r="A512" s="4" t="n">
        <v>10139</v>
      </c>
      <c r="B512" s="4" t="s">
        <v>1019</v>
      </c>
      <c r="C512" s="4" t="s">
        <v>332</v>
      </c>
      <c r="D512" s="4" t="s">
        <v>76</v>
      </c>
      <c r="E512" s="4" t="s">
        <v>151</v>
      </c>
      <c r="F512" s="4" t="n">
        <v>4</v>
      </c>
      <c r="G512" s="4" t="s">
        <v>1020</v>
      </c>
      <c r="H512" s="4" t="s">
        <v>73</v>
      </c>
      <c r="I512" s="4" t="s">
        <v>368</v>
      </c>
      <c r="J512" s="6" t="n">
        <f aca="false">IFERROR(DATEVALUE(B512),"")</f>
        <v>45746</v>
      </c>
      <c r="K512" s="4" t="str">
        <f aca="false">IF(A512="","",PROPER(TRIM(C512)))</f>
        <v>West</v>
      </c>
      <c r="L512" s="4" t="str">
        <f aca="false">IF(A512="","",PROPER(TRIM(D512)))</f>
        <v>Footwear</v>
      </c>
      <c r="M512" s="4" t="n">
        <f aca="false">IFERROR(VALUE(F512),0)</f>
        <v>4</v>
      </c>
      <c r="N512" s="7" t="n">
        <f aca="false">IFERROR(VALUE(SUBSTITUTE(G512,"$","")),0)</f>
        <v>154.6</v>
      </c>
      <c r="O512" s="4" t="n">
        <f aca="false">IF(A512="",0,IF(COUNTIF($A$2:A512,A512)&gt;1,1,0))</f>
        <v>1</v>
      </c>
      <c r="P512" s="4" t="n">
        <f aca="false">IF(AND(A512&lt;&gt;"",J512&lt;&gt;"",M512&gt;0,N512&gt;0,O512=0),1,0)</f>
        <v>0</v>
      </c>
      <c r="Q512" s="7" t="n">
        <f aca="false">IF(P512=1,M512*N512,0)</f>
        <v>0</v>
      </c>
    </row>
    <row r="513" customFormat="false" ht="15" hidden="false" customHeight="false" outlineLevel="0" collapsed="false">
      <c r="A513" s="4" t="n">
        <v>10269</v>
      </c>
      <c r="B513" s="4" t="s">
        <v>1308</v>
      </c>
      <c r="C513" s="4" t="s">
        <v>155</v>
      </c>
      <c r="D513" s="4" t="s">
        <v>230</v>
      </c>
      <c r="E513" s="4" t="s">
        <v>243</v>
      </c>
      <c r="F513" s="4" t="n">
        <v>1</v>
      </c>
      <c r="G513" s="4" t="s">
        <v>1309</v>
      </c>
      <c r="H513" s="4" t="s">
        <v>47</v>
      </c>
      <c r="I513" s="4" t="s">
        <v>1074</v>
      </c>
      <c r="J513" s="6" t="n">
        <f aca="false">IFERROR(DATEVALUE(B513),"")</f>
        <v>45406</v>
      </c>
      <c r="K513" s="4" t="str">
        <f aca="false">IF(A513="","",PROPER(TRIM(C513)))</f>
        <v>South</v>
      </c>
      <c r="L513" s="4" t="str">
        <f aca="false">IF(A513="","",PROPER(TRIM(D513)))</f>
        <v>Apparel</v>
      </c>
      <c r="M513" s="4" t="n">
        <f aca="false">IFERROR(VALUE(F513),0)</f>
        <v>1</v>
      </c>
      <c r="N513" s="7" t="n">
        <f aca="false">IFERROR(VALUE(SUBSTITUTE(G513,"$","")),0)</f>
        <v>79.03</v>
      </c>
      <c r="O513" s="4" t="n">
        <f aca="false">IF(A513="",0,IF(COUNTIF($A$2:A513,A513)&gt;1,1,0))</f>
        <v>0</v>
      </c>
      <c r="P513" s="4" t="n">
        <f aca="false">IF(AND(A513&lt;&gt;"",J513&lt;&gt;"",M513&gt;0,N513&gt;0,O513=0),1,0)</f>
        <v>1</v>
      </c>
      <c r="Q513" s="7" t="n">
        <f aca="false">IF(P513=1,M513*N513,0)</f>
        <v>79.03</v>
      </c>
    </row>
    <row r="514" customFormat="false" ht="15" hidden="false" customHeight="false" outlineLevel="0" collapsed="false">
      <c r="A514" s="4" t="n">
        <v>10317</v>
      </c>
      <c r="B514" s="4" t="s">
        <v>1310</v>
      </c>
      <c r="C514" s="4" t="s">
        <v>435</v>
      </c>
      <c r="D514" s="4" t="s">
        <v>438</v>
      </c>
      <c r="E514" s="4" t="s">
        <v>111</v>
      </c>
      <c r="F514" s="4" t="n">
        <v>-2</v>
      </c>
      <c r="G514" s="4" t="s">
        <v>1311</v>
      </c>
      <c r="H514" s="4" t="s">
        <v>73</v>
      </c>
      <c r="I514" s="4" t="s">
        <v>1312</v>
      </c>
      <c r="J514" s="6" t="n">
        <f aca="false">IFERROR(DATEVALUE(B514),"")</f>
        <v>45639</v>
      </c>
      <c r="K514" s="4" t="str">
        <f aca="false">IF(A514="","",PROPER(TRIM(C514)))</f>
        <v>Midwest</v>
      </c>
      <c r="L514" s="4" t="str">
        <f aca="false">IF(A514="","",PROPER(TRIM(D514)))</f>
        <v>Footwear</v>
      </c>
      <c r="M514" s="4" t="n">
        <f aca="false">IFERROR(VALUE(F514),0)</f>
        <v>-2</v>
      </c>
      <c r="N514" s="7" t="n">
        <f aca="false">IFERROR(VALUE(SUBSTITUTE(G514,"$","")),0)</f>
        <v>91.41</v>
      </c>
      <c r="O514" s="4" t="n">
        <f aca="false">IF(A514="",0,IF(COUNTIF($A$2:A514,A514)&gt;1,1,0))</f>
        <v>0</v>
      </c>
      <c r="P514" s="4" t="n">
        <f aca="false">IF(AND(A514&lt;&gt;"",J514&lt;&gt;"",M514&gt;0,N514&gt;0,O514=0),1,0)</f>
        <v>0</v>
      </c>
      <c r="Q514" s="7" t="n">
        <f aca="false">IF(P514=1,M514*N514,0)</f>
        <v>0</v>
      </c>
    </row>
    <row r="515" customFormat="false" ht="15" hidden="false" customHeight="false" outlineLevel="0" collapsed="false">
      <c r="A515" s="4" t="n">
        <v>10755</v>
      </c>
      <c r="B515" s="4" t="s">
        <v>746</v>
      </c>
      <c r="C515" s="4" t="s">
        <v>50</v>
      </c>
      <c r="D515" s="4" t="s">
        <v>101</v>
      </c>
      <c r="E515" s="4" t="s">
        <v>160</v>
      </c>
      <c r="F515" s="4" t="n">
        <v>1</v>
      </c>
      <c r="G515" s="4" t="s">
        <v>747</v>
      </c>
      <c r="H515" s="4" t="s">
        <v>47</v>
      </c>
      <c r="I515" s="4" t="s">
        <v>637</v>
      </c>
      <c r="J515" s="6" t="n">
        <f aca="false">IFERROR(DATEVALUE(B515),"")</f>
        <v>45481</v>
      </c>
      <c r="K515" s="4" t="str">
        <f aca="false">IF(A515="","",PROPER(TRIM(C515)))</f>
        <v>Midwest</v>
      </c>
      <c r="L515" s="4" t="str">
        <f aca="false">IF(A515="","",PROPER(TRIM(D515)))</f>
        <v>Accessories</v>
      </c>
      <c r="M515" s="4" t="n">
        <f aca="false">IFERROR(VALUE(F515),0)</f>
        <v>1</v>
      </c>
      <c r="N515" s="7" t="n">
        <f aca="false">IFERROR(VALUE(SUBSTITUTE(G515,"$","")),0)</f>
        <v>24.22</v>
      </c>
      <c r="O515" s="4" t="n">
        <f aca="false">IF(A515="",0,IF(COUNTIF($A$2:A515,A515)&gt;1,1,0))</f>
        <v>1</v>
      </c>
      <c r="P515" s="4" t="n">
        <f aca="false">IF(AND(A515&lt;&gt;"",J515&lt;&gt;"",M515&gt;0,N515&gt;0,O515=0),1,0)</f>
        <v>0</v>
      </c>
      <c r="Q515" s="7" t="n">
        <f aca="false">IF(P515=1,M515*N515,0)</f>
        <v>0</v>
      </c>
    </row>
    <row r="516" customFormat="false" ht="15" hidden="false" customHeight="false" outlineLevel="0" collapsed="false">
      <c r="A516" s="4" t="n">
        <v>10092</v>
      </c>
      <c r="B516" s="4" t="s">
        <v>1313</v>
      </c>
      <c r="C516" s="4" t="s">
        <v>178</v>
      </c>
      <c r="D516" s="4" t="s">
        <v>64</v>
      </c>
      <c r="E516" s="4" t="s">
        <v>65</v>
      </c>
      <c r="F516" s="4" t="n">
        <v>1</v>
      </c>
      <c r="G516" s="4" t="s">
        <v>1314</v>
      </c>
      <c r="H516" s="4" t="s">
        <v>54</v>
      </c>
      <c r="I516" s="4" t="s">
        <v>1315</v>
      </c>
      <c r="J516" s="6" t="n">
        <f aca="false">IFERROR(DATEVALUE(B516),"")</f>
        <v>45702</v>
      </c>
      <c r="K516" s="4" t="str">
        <f aca="false">IF(A516="","",PROPER(TRIM(C516)))</f>
        <v>South</v>
      </c>
      <c r="L516" s="4" t="str">
        <f aca="false">IF(A516="","",PROPER(TRIM(D516)))</f>
        <v>Footwear</v>
      </c>
      <c r="M516" s="4" t="n">
        <f aca="false">IFERROR(VALUE(F516),0)</f>
        <v>1</v>
      </c>
      <c r="N516" s="7" t="n">
        <f aca="false">IFERROR(VALUE(SUBSTITUTE(G516,"$","")),0)</f>
        <v>54.38</v>
      </c>
      <c r="O516" s="4" t="n">
        <f aca="false">IF(A516="",0,IF(COUNTIF($A$2:A516,A516)&gt;1,1,0))</f>
        <v>0</v>
      </c>
      <c r="P516" s="4" t="n">
        <f aca="false">IF(AND(A516&lt;&gt;"",J516&lt;&gt;"",M516&gt;0,N516&gt;0,O516=0),1,0)</f>
        <v>1</v>
      </c>
      <c r="Q516" s="7" t="n">
        <f aca="false">IF(P516=1,M516*N516,0)</f>
        <v>54.38</v>
      </c>
    </row>
    <row r="517" customFormat="false" ht="15" hidden="false" customHeight="false" outlineLevel="0" collapsed="false">
      <c r="A517" s="4" t="n">
        <v>10517</v>
      </c>
      <c r="B517" s="4" t="s">
        <v>1316</v>
      </c>
      <c r="C517" s="4" t="s">
        <v>43</v>
      </c>
      <c r="D517" s="4" t="s">
        <v>64</v>
      </c>
      <c r="E517" s="4" t="s">
        <v>77</v>
      </c>
      <c r="F517" s="4" t="n">
        <v>4</v>
      </c>
      <c r="G517" s="4" t="s">
        <v>1317</v>
      </c>
      <c r="H517" s="4" t="s">
        <v>47</v>
      </c>
      <c r="I517" s="4" t="s">
        <v>415</v>
      </c>
      <c r="J517" s="6" t="n">
        <f aca="false">IFERROR(DATEVALUE(B517),"")</f>
        <v>45418</v>
      </c>
      <c r="K517" s="4" t="str">
        <f aca="false">IF(A517="","",PROPER(TRIM(C517)))</f>
        <v>South</v>
      </c>
      <c r="L517" s="4" t="str">
        <f aca="false">IF(A517="","",PROPER(TRIM(D517)))</f>
        <v>Footwear</v>
      </c>
      <c r="M517" s="4" t="n">
        <f aca="false">IFERROR(VALUE(F517),0)</f>
        <v>4</v>
      </c>
      <c r="N517" s="7" t="n">
        <f aca="false">IFERROR(VALUE(SUBSTITUTE(G517,"$","")),0)</f>
        <v>120.43</v>
      </c>
      <c r="O517" s="4" t="n">
        <f aca="false">IF(A517="",0,IF(COUNTIF($A$2:A517,A517)&gt;1,1,0))</f>
        <v>0</v>
      </c>
      <c r="P517" s="4" t="n">
        <f aca="false">IF(AND(A517&lt;&gt;"",J517&lt;&gt;"",M517&gt;0,N517&gt;0,O517=0),1,0)</f>
        <v>1</v>
      </c>
      <c r="Q517" s="7" t="n">
        <f aca="false">IF(P517=1,M517*N517,0)</f>
        <v>481.72</v>
      </c>
    </row>
    <row r="518" customFormat="false" ht="15" hidden="false" customHeight="false" outlineLevel="0" collapsed="false">
      <c r="A518" s="4" t="n">
        <v>10252</v>
      </c>
      <c r="B518" s="4" t="s">
        <v>1318</v>
      </c>
      <c r="C518" s="4" t="s">
        <v>133</v>
      </c>
      <c r="D518" s="4" t="s">
        <v>230</v>
      </c>
      <c r="E518" s="4" t="s">
        <v>116</v>
      </c>
      <c r="F518" s="4" t="n">
        <v>4</v>
      </c>
      <c r="G518" s="4" t="s">
        <v>1319</v>
      </c>
      <c r="H518" s="4" t="s">
        <v>47</v>
      </c>
      <c r="I518" s="4" t="s">
        <v>1026</v>
      </c>
      <c r="J518" s="6" t="n">
        <f aca="false">IFERROR(DATEVALUE(B518),"")</f>
        <v>45292</v>
      </c>
      <c r="K518" s="4" t="str">
        <f aca="false">IF(A518="","",PROPER(TRIM(C518)))</f>
        <v>East</v>
      </c>
      <c r="L518" s="4" t="str">
        <f aca="false">IF(A518="","",PROPER(TRIM(D518)))</f>
        <v>Apparel</v>
      </c>
      <c r="M518" s="4" t="n">
        <f aca="false">IFERROR(VALUE(F518),0)</f>
        <v>4</v>
      </c>
      <c r="N518" s="7" t="n">
        <f aca="false">IFERROR(VALUE(SUBSTITUTE(G518,"$","")),0)</f>
        <v>72.22</v>
      </c>
      <c r="O518" s="4" t="n">
        <f aca="false">IF(A518="",0,IF(COUNTIF($A$2:A518,A518)&gt;1,1,0))</f>
        <v>0</v>
      </c>
      <c r="P518" s="4" t="n">
        <f aca="false">IF(AND(A518&lt;&gt;"",J518&lt;&gt;"",M518&gt;0,N518&gt;0,O518=0),1,0)</f>
        <v>1</v>
      </c>
      <c r="Q518" s="7" t="n">
        <f aca="false">IF(P518=1,M518*N518,0)</f>
        <v>288.88</v>
      </c>
    </row>
    <row r="519" customFormat="false" ht="15" hidden="false" customHeight="false" outlineLevel="0" collapsed="false">
      <c r="A519" s="4" t="n">
        <v>10118</v>
      </c>
      <c r="B519" s="4" t="s">
        <v>759</v>
      </c>
      <c r="C519" s="4" t="s">
        <v>50</v>
      </c>
      <c r="D519" s="4" t="s">
        <v>217</v>
      </c>
      <c r="E519" s="4" t="s">
        <v>116</v>
      </c>
      <c r="F519" s="4" t="n">
        <v>1</v>
      </c>
      <c r="G519" s="4" t="s">
        <v>1320</v>
      </c>
      <c r="H519" s="4" t="s">
        <v>54</v>
      </c>
      <c r="I519" s="4" t="s">
        <v>1256</v>
      </c>
      <c r="J519" s="6" t="n">
        <f aca="false">IFERROR(DATEVALUE(B519),"")</f>
        <v>45755</v>
      </c>
      <c r="K519" s="4" t="str">
        <f aca="false">IF(A519="","",PROPER(TRIM(C519)))</f>
        <v>Midwest</v>
      </c>
      <c r="L519" s="4" t="str">
        <f aca="false">IF(A519="","",PROPER(TRIM(D519)))</f>
        <v>Apparel</v>
      </c>
      <c r="M519" s="4" t="n">
        <f aca="false">IFERROR(VALUE(F519),0)</f>
        <v>1</v>
      </c>
      <c r="N519" s="7" t="n">
        <f aca="false">IFERROR(VALUE(SUBSTITUTE(G519,"$","")),0)</f>
        <v>71.34</v>
      </c>
      <c r="O519" s="4" t="n">
        <f aca="false">IF(A519="",0,IF(COUNTIF($A$2:A519,A519)&gt;1,1,0))</f>
        <v>0</v>
      </c>
      <c r="P519" s="4" t="n">
        <f aca="false">IF(AND(A519&lt;&gt;"",J519&lt;&gt;"",M519&gt;0,N519&gt;0,O519=0),1,0)</f>
        <v>1</v>
      </c>
      <c r="Q519" s="7" t="n">
        <f aca="false">IF(P519=1,M519*N519,0)</f>
        <v>71.34</v>
      </c>
    </row>
    <row r="520" customFormat="false" ht="15" hidden="false" customHeight="false" outlineLevel="0" collapsed="false">
      <c r="A520" s="4" t="n">
        <v>10318</v>
      </c>
      <c r="B520" s="4" t="s">
        <v>1321</v>
      </c>
      <c r="C520" s="4" t="s">
        <v>183</v>
      </c>
      <c r="D520" s="4" t="s">
        <v>230</v>
      </c>
      <c r="E520" s="4" t="s">
        <v>116</v>
      </c>
      <c r="F520" s="4" t="n">
        <v>3</v>
      </c>
      <c r="G520" s="4" t="s">
        <v>1322</v>
      </c>
      <c r="H520" s="4" t="s">
        <v>54</v>
      </c>
      <c r="I520" s="4" t="s">
        <v>915</v>
      </c>
      <c r="J520" s="6" t="n">
        <f aca="false">IFERROR(DATEVALUE(B520),"")</f>
        <v>45620</v>
      </c>
      <c r="K520" s="4" t="str">
        <f aca="false">IF(A520="","",PROPER(TRIM(C520)))</f>
        <v>West</v>
      </c>
      <c r="L520" s="4" t="str">
        <f aca="false">IF(A520="","",PROPER(TRIM(D520)))</f>
        <v>Apparel</v>
      </c>
      <c r="M520" s="4" t="n">
        <f aca="false">IFERROR(VALUE(F520),0)</f>
        <v>3</v>
      </c>
      <c r="N520" s="7" t="n">
        <f aca="false">IFERROR(VALUE(SUBSTITUTE(G520,"$","")),0)</f>
        <v>63.52</v>
      </c>
      <c r="O520" s="4" t="n">
        <f aca="false">IF(A520="",0,IF(COUNTIF($A$2:A520,A520)&gt;1,1,0))</f>
        <v>0</v>
      </c>
      <c r="P520" s="4" t="n">
        <f aca="false">IF(AND(A520&lt;&gt;"",J520&lt;&gt;"",M520&gt;0,N520&gt;0,O520=0),1,0)</f>
        <v>1</v>
      </c>
      <c r="Q520" s="7" t="n">
        <f aca="false">IF(P520=1,M520*N520,0)</f>
        <v>190.56</v>
      </c>
    </row>
    <row r="521" customFormat="false" ht="15" hidden="false" customHeight="false" outlineLevel="0" collapsed="false">
      <c r="A521" s="4" t="n">
        <v>10154</v>
      </c>
      <c r="B521" s="4" t="s">
        <v>1323</v>
      </c>
      <c r="C521" s="4" t="s">
        <v>183</v>
      </c>
      <c r="D521" s="4" t="s">
        <v>58</v>
      </c>
      <c r="E521" s="4" t="s">
        <v>188</v>
      </c>
      <c r="F521" s="4" t="n">
        <v>1</v>
      </c>
      <c r="G521" s="4" t="s">
        <v>1324</v>
      </c>
      <c r="H521" s="4" t="s">
        <v>47</v>
      </c>
      <c r="I521" s="4" t="s">
        <v>153</v>
      </c>
      <c r="J521" s="6" t="n">
        <f aca="false">IFERROR(DATEVALUE(B521),"")</f>
        <v>45643</v>
      </c>
      <c r="K521" s="4" t="str">
        <f aca="false">IF(A521="","",PROPER(TRIM(C521)))</f>
        <v>West</v>
      </c>
      <c r="L521" s="4" t="str">
        <f aca="false">IF(A521="","",PROPER(TRIM(D521)))</f>
        <v>Climbing Gear</v>
      </c>
      <c r="M521" s="4" t="n">
        <f aca="false">IFERROR(VALUE(F521),0)</f>
        <v>1</v>
      </c>
      <c r="N521" s="7" t="n">
        <f aca="false">IFERROR(VALUE(SUBSTITUTE(G521,"$","")),0)</f>
        <v>21.83</v>
      </c>
      <c r="O521" s="4" t="n">
        <f aca="false">IF(A521="",0,IF(COUNTIF($A$2:A521,A521)&gt;1,1,0))</f>
        <v>0</v>
      </c>
      <c r="P521" s="4" t="n">
        <f aca="false">IF(AND(A521&lt;&gt;"",J521&lt;&gt;"",M521&gt;0,N521&gt;0,O521=0),1,0)</f>
        <v>1</v>
      </c>
      <c r="Q521" s="7" t="n">
        <f aca="false">IF(P521=1,M521*N521,0)</f>
        <v>21.83</v>
      </c>
    </row>
    <row r="522" customFormat="false" ht="15" hidden="false" customHeight="false" outlineLevel="0" collapsed="false">
      <c r="A522" s="4" t="n">
        <v>10525</v>
      </c>
      <c r="B522" s="4" t="s">
        <v>1325</v>
      </c>
      <c r="C522" s="4" t="s">
        <v>93</v>
      </c>
      <c r="D522" s="4" t="s">
        <v>101</v>
      </c>
      <c r="E522" s="4" t="s">
        <v>45</v>
      </c>
      <c r="F522" s="4" t="n">
        <v>3</v>
      </c>
      <c r="G522" s="4" t="s">
        <v>1326</v>
      </c>
      <c r="H522" s="4" t="s">
        <v>47</v>
      </c>
      <c r="I522" s="4" t="s">
        <v>707</v>
      </c>
      <c r="J522" s="6" t="n">
        <f aca="false">IFERROR(DATEVALUE(B522),"")</f>
        <v>45388</v>
      </c>
      <c r="K522" s="4" t="str">
        <f aca="false">IF(A522="","",PROPER(TRIM(C522)))</f>
        <v>West</v>
      </c>
      <c r="L522" s="4" t="str">
        <f aca="false">IF(A522="","",PROPER(TRIM(D522)))</f>
        <v>Accessories</v>
      </c>
      <c r="M522" s="4" t="n">
        <f aca="false">IFERROR(VALUE(F522),0)</f>
        <v>3</v>
      </c>
      <c r="N522" s="7" t="n">
        <f aca="false">IFERROR(VALUE(SUBSTITUTE(G522,"$","")),0)</f>
        <v>45.32</v>
      </c>
      <c r="O522" s="4" t="n">
        <f aca="false">IF(A522="",0,IF(COUNTIF($A$2:A522,A522)&gt;1,1,0))</f>
        <v>0</v>
      </c>
      <c r="P522" s="4" t="n">
        <f aca="false">IF(AND(A522&lt;&gt;"",J522&lt;&gt;"",M522&gt;0,N522&gt;0,O522=0),1,0)</f>
        <v>1</v>
      </c>
      <c r="Q522" s="7" t="n">
        <f aca="false">IF(P522=1,M522*N522,0)</f>
        <v>135.96</v>
      </c>
    </row>
    <row r="523" customFormat="false" ht="15" hidden="false" customHeight="false" outlineLevel="0" collapsed="false">
      <c r="A523" s="4" t="n">
        <v>10338</v>
      </c>
      <c r="B523" s="4" t="s">
        <v>1327</v>
      </c>
      <c r="C523" s="4" t="s">
        <v>178</v>
      </c>
      <c r="D523" s="4" t="s">
        <v>171</v>
      </c>
      <c r="E523" s="4" t="s">
        <v>203</v>
      </c>
      <c r="F523" s="4" t="n">
        <v>3</v>
      </c>
      <c r="G523" s="4" t="s">
        <v>1328</v>
      </c>
      <c r="H523" s="4" t="s">
        <v>73</v>
      </c>
      <c r="I523" s="4" t="s">
        <v>144</v>
      </c>
      <c r="J523" s="6" t="n">
        <f aca="false">IFERROR(DATEVALUE(B523),"")</f>
        <v>45480</v>
      </c>
      <c r="K523" s="4" t="str">
        <f aca="false">IF(A523="","",PROPER(TRIM(C523)))</f>
        <v>South</v>
      </c>
      <c r="L523" s="4" t="str">
        <f aca="false">IF(A523="","",PROPER(TRIM(D523)))</f>
        <v>Camping Gear</v>
      </c>
      <c r="M523" s="4" t="n">
        <f aca="false">IFERROR(VALUE(F523),0)</f>
        <v>3</v>
      </c>
      <c r="N523" s="7" t="n">
        <f aca="false">IFERROR(VALUE(SUBSTITUTE(G523,"$","")),0)</f>
        <v>225.74</v>
      </c>
      <c r="O523" s="4" t="n">
        <f aca="false">IF(A523="",0,IF(COUNTIF($A$2:A523,A523)&gt;1,1,0))</f>
        <v>0</v>
      </c>
      <c r="P523" s="4" t="n">
        <f aca="false">IF(AND(A523&lt;&gt;"",J523&lt;&gt;"",M523&gt;0,N523&gt;0,O523=0),1,0)</f>
        <v>1</v>
      </c>
      <c r="Q523" s="7" t="n">
        <f aca="false">IF(P523=1,M523*N523,0)</f>
        <v>677.22</v>
      </c>
    </row>
    <row r="524" customFormat="false" ht="15" hidden="false" customHeight="false" outlineLevel="0" collapsed="false">
      <c r="A524" s="4" t="n">
        <v>10767</v>
      </c>
      <c r="B524" s="4" t="s">
        <v>1329</v>
      </c>
      <c r="C524" s="4" t="s">
        <v>187</v>
      </c>
      <c r="D524" s="4" t="s">
        <v>64</v>
      </c>
      <c r="E524" s="4" t="s">
        <v>77</v>
      </c>
      <c r="F524" s="4" t="n">
        <v>3</v>
      </c>
      <c r="G524" s="4"/>
      <c r="H524" s="4" t="s">
        <v>73</v>
      </c>
      <c r="I524" s="4" t="s">
        <v>546</v>
      </c>
      <c r="J524" s="6" t="n">
        <f aca="false">IFERROR(DATEVALUE(B524),"")</f>
        <v>45602</v>
      </c>
      <c r="K524" s="4" t="str">
        <f aca="false">IF(A524="","",PROPER(TRIM(C524)))</f>
        <v>East</v>
      </c>
      <c r="L524" s="4" t="str">
        <f aca="false">IF(A524="","",PROPER(TRIM(D524)))</f>
        <v>Footwear</v>
      </c>
      <c r="M524" s="4" t="n">
        <f aca="false">IFERROR(VALUE(F524),0)</f>
        <v>3</v>
      </c>
      <c r="N524" s="7" t="n">
        <f aca="false">IFERROR(VALUE(SUBSTITUTE(G524,"$","")),0)</f>
        <v>0</v>
      </c>
      <c r="O524" s="4" t="n">
        <f aca="false">IF(A524="",0,IF(COUNTIF($A$2:A524,A524)&gt;1,1,0))</f>
        <v>0</v>
      </c>
      <c r="P524" s="4" t="n">
        <f aca="false">IF(AND(A524&lt;&gt;"",J524&lt;&gt;"",M524&gt;0,N524&gt;0,O524=0),1,0)</f>
        <v>0</v>
      </c>
      <c r="Q524" s="7" t="n">
        <f aca="false">IF(P524=1,M524*N524,0)</f>
        <v>0</v>
      </c>
    </row>
    <row r="525" customFormat="false" ht="15" hidden="false" customHeight="false" outlineLevel="0" collapsed="false">
      <c r="A525" s="4" t="n">
        <v>10220</v>
      </c>
      <c r="B525" s="4" t="s">
        <v>1330</v>
      </c>
      <c r="C525" s="4" t="s">
        <v>315</v>
      </c>
      <c r="D525" s="4" t="s">
        <v>179</v>
      </c>
      <c r="E525" s="4" t="s">
        <v>125</v>
      </c>
      <c r="F525" s="4" t="n">
        <v>1</v>
      </c>
      <c r="G525" s="4" t="s">
        <v>1331</v>
      </c>
      <c r="H525" s="4" t="s">
        <v>47</v>
      </c>
      <c r="I525" s="4" t="s">
        <v>1332</v>
      </c>
      <c r="J525" s="6" t="n">
        <f aca="false">IFERROR(DATEVALUE(B525),"")</f>
        <v>45549</v>
      </c>
      <c r="K525" s="4" t="str">
        <f aca="false">IF(A525="","",PROPER(TRIM(C525)))</f>
        <v>South</v>
      </c>
      <c r="L525" s="4" t="str">
        <f aca="false">IF(A525="","",PROPER(TRIM(D525)))</f>
        <v>Climbing Gear</v>
      </c>
      <c r="M525" s="4" t="n">
        <f aca="false">IFERROR(VALUE(F525),0)</f>
        <v>1</v>
      </c>
      <c r="N525" s="7" t="n">
        <f aca="false">IFERROR(VALUE(SUBSTITUTE(G525,"$","")),0)</f>
        <v>95.23</v>
      </c>
      <c r="O525" s="4" t="n">
        <f aca="false">IF(A525="",0,IF(COUNTIF($A$2:A525,A525)&gt;1,1,0))</f>
        <v>0</v>
      </c>
      <c r="P525" s="4" t="n">
        <f aca="false">IF(AND(A525&lt;&gt;"",J525&lt;&gt;"",M525&gt;0,N525&gt;0,O525=0),1,0)</f>
        <v>1</v>
      </c>
      <c r="Q525" s="7" t="n">
        <f aca="false">IF(P525=1,M525*N525,0)</f>
        <v>95.23</v>
      </c>
    </row>
    <row r="527" customFormat="false" ht="15" hidden="false" customHeight="false" outlineLevel="0" collapsed="false">
      <c r="A527" s="4" t="n">
        <v>10081</v>
      </c>
      <c r="B527" s="4" t="s">
        <v>1333</v>
      </c>
      <c r="C527" s="4" t="s">
        <v>57</v>
      </c>
      <c r="D527" s="4" t="s">
        <v>51</v>
      </c>
      <c r="E527" s="4" t="s">
        <v>160</v>
      </c>
      <c r="F527" s="4" t="n">
        <v>2</v>
      </c>
      <c r="G527" s="4" t="s">
        <v>1334</v>
      </c>
      <c r="H527" s="4" t="s">
        <v>47</v>
      </c>
      <c r="I527" s="4" t="s">
        <v>491</v>
      </c>
      <c r="J527" s="6" t="n">
        <f aca="false">IFERROR(DATEVALUE(B527),"")</f>
        <v>45292</v>
      </c>
      <c r="K527" s="4" t="str">
        <f aca="false">IF(A527="","",PROPER(TRIM(C527)))</f>
        <v>West</v>
      </c>
      <c r="L527" s="4" t="str">
        <f aca="false">IF(A527="","",PROPER(TRIM(D527)))</f>
        <v>Accessories</v>
      </c>
      <c r="M527" s="4" t="n">
        <f aca="false">IFERROR(VALUE(F527),0)</f>
        <v>2</v>
      </c>
      <c r="N527" s="7" t="n">
        <f aca="false">IFERROR(VALUE(SUBSTITUTE(G527,"$","")),0)</f>
        <v>24.04</v>
      </c>
      <c r="O527" s="4" t="n">
        <f aca="false">IF(A527="",0,IF(COUNTIF($A$2:A527,A527)&gt;1,1,0))</f>
        <v>0</v>
      </c>
      <c r="P527" s="4" t="n">
        <f aca="false">IF(AND(A527&lt;&gt;"",J527&lt;&gt;"",M527&gt;0,N527&gt;0,O527=0),1,0)</f>
        <v>1</v>
      </c>
      <c r="Q527" s="7" t="n">
        <f aca="false">IF(P527=1,M527*N527,0)</f>
        <v>48.08</v>
      </c>
    </row>
    <row r="528" customFormat="false" ht="15" hidden="false" customHeight="false" outlineLevel="0" collapsed="false">
      <c r="A528" s="4" t="n">
        <v>10354</v>
      </c>
      <c r="B528" s="4" t="s">
        <v>1335</v>
      </c>
      <c r="C528" s="4" t="s">
        <v>110</v>
      </c>
      <c r="D528" s="4" t="s">
        <v>230</v>
      </c>
      <c r="E528" s="4" t="s">
        <v>243</v>
      </c>
      <c r="F528" s="4" t="n">
        <v>4</v>
      </c>
      <c r="G528" s="4" t="s">
        <v>1336</v>
      </c>
      <c r="H528" s="4" t="s">
        <v>54</v>
      </c>
      <c r="I528" s="4" t="s">
        <v>789</v>
      </c>
      <c r="J528" s="6" t="n">
        <f aca="false">IFERROR(DATEVALUE(B528),"")</f>
        <v>45426</v>
      </c>
      <c r="K528" s="4" t="str">
        <f aca="false">IF(A528="","",PROPER(TRIM(C528)))</f>
        <v>Midwest</v>
      </c>
      <c r="L528" s="4" t="str">
        <f aca="false">IF(A528="","",PROPER(TRIM(D528)))</f>
        <v>Apparel</v>
      </c>
      <c r="M528" s="4" t="n">
        <f aca="false">IFERROR(VALUE(F528),0)</f>
        <v>4</v>
      </c>
      <c r="N528" s="7" t="n">
        <f aca="false">IFERROR(VALUE(SUBSTITUTE(G528,"$","")),0)</f>
        <v>68.49</v>
      </c>
      <c r="O528" s="4" t="n">
        <f aca="false">IF(A528="",0,IF(COUNTIF($A$2:A528,A528)&gt;1,1,0))</f>
        <v>0</v>
      </c>
      <c r="P528" s="4" t="n">
        <f aca="false">IF(AND(A528&lt;&gt;"",J528&lt;&gt;"",M528&gt;0,N528&gt;0,O528=0),1,0)</f>
        <v>1</v>
      </c>
      <c r="Q528" s="7" t="n">
        <f aca="false">IF(P528=1,M528*N528,0)</f>
        <v>273.96</v>
      </c>
    </row>
    <row r="529" customFormat="false" ht="15" hidden="false" customHeight="false" outlineLevel="0" collapsed="false">
      <c r="A529" s="4" t="n">
        <v>10384</v>
      </c>
      <c r="B529" s="4" t="s">
        <v>1337</v>
      </c>
      <c r="C529" s="4" t="s">
        <v>224</v>
      </c>
      <c r="D529" s="4" t="s">
        <v>64</v>
      </c>
      <c r="E529" s="4" t="s">
        <v>111</v>
      </c>
      <c r="F529" s="4" t="n">
        <v>4</v>
      </c>
      <c r="G529" s="4" t="s">
        <v>1338</v>
      </c>
      <c r="H529" s="4" t="s">
        <v>54</v>
      </c>
      <c r="I529" s="4" t="s">
        <v>499</v>
      </c>
      <c r="J529" s="6" t="n">
        <f aca="false">IFERROR(DATEVALUE(B529),"")</f>
        <v>45701</v>
      </c>
      <c r="K529" s="4" t="str">
        <f aca="false">IF(A529="","",PROPER(TRIM(C529)))</f>
        <v>East</v>
      </c>
      <c r="L529" s="4" t="str">
        <f aca="false">IF(A529="","",PROPER(TRIM(D529)))</f>
        <v>Footwear</v>
      </c>
      <c r="M529" s="4" t="n">
        <f aca="false">IFERROR(VALUE(F529),0)</f>
        <v>4</v>
      </c>
      <c r="N529" s="7" t="n">
        <f aca="false">IFERROR(VALUE(SUBSTITUTE(G529,"$","")),0)</f>
        <v>83.6</v>
      </c>
      <c r="O529" s="4" t="n">
        <f aca="false">IF(A529="",0,IF(COUNTIF($A$2:A529,A529)&gt;1,1,0))</f>
        <v>0</v>
      </c>
      <c r="P529" s="4" t="n">
        <f aca="false">IF(AND(A529&lt;&gt;"",J529&lt;&gt;"",M529&gt;0,N529&gt;0,O529=0),1,0)</f>
        <v>1</v>
      </c>
      <c r="Q529" s="7" t="n">
        <f aca="false">IF(P529=1,M529*N529,0)</f>
        <v>334.4</v>
      </c>
    </row>
    <row r="530" customFormat="false" ht="15" hidden="false" customHeight="false" outlineLevel="0" collapsed="false">
      <c r="A530" s="4" t="n">
        <v>10212</v>
      </c>
      <c r="B530" s="4" t="s">
        <v>1339</v>
      </c>
      <c r="C530" s="4" t="s">
        <v>155</v>
      </c>
      <c r="D530" s="4" t="s">
        <v>64</v>
      </c>
      <c r="E530" s="4" t="s">
        <v>151</v>
      </c>
      <c r="F530" s="4" t="n">
        <v>1</v>
      </c>
      <c r="G530" s="4" t="s">
        <v>1340</v>
      </c>
      <c r="H530" s="4" t="s">
        <v>47</v>
      </c>
      <c r="I530" s="4" t="s">
        <v>1341</v>
      </c>
      <c r="J530" s="6" t="n">
        <f aca="false">IFERROR(DATEVALUE(B530),"")</f>
        <v>45830</v>
      </c>
      <c r="K530" s="4" t="str">
        <f aca="false">IF(A530="","",PROPER(TRIM(C530)))</f>
        <v>South</v>
      </c>
      <c r="L530" s="4" t="str">
        <f aca="false">IF(A530="","",PROPER(TRIM(D530)))</f>
        <v>Footwear</v>
      </c>
      <c r="M530" s="4" t="n">
        <f aca="false">IFERROR(VALUE(F530),0)</f>
        <v>1</v>
      </c>
      <c r="N530" s="7" t="n">
        <f aca="false">IFERROR(VALUE(SUBSTITUTE(G530,"$","")),0)</f>
        <v>171.39</v>
      </c>
      <c r="O530" s="4" t="n">
        <f aca="false">IF(A530="",0,IF(COUNTIF($A$2:A530,A530)&gt;1,1,0))</f>
        <v>0</v>
      </c>
      <c r="P530" s="4" t="n">
        <f aca="false">IF(AND(A530&lt;&gt;"",J530&lt;&gt;"",M530&gt;0,N530&gt;0,O530=0),1,0)</f>
        <v>1</v>
      </c>
      <c r="Q530" s="7" t="n">
        <f aca="false">IF(P530=1,M530*N530,0)</f>
        <v>171.39</v>
      </c>
    </row>
    <row r="531" customFormat="false" ht="15" hidden="false" customHeight="false" outlineLevel="0" collapsed="false">
      <c r="A531" s="4" t="n">
        <v>10733</v>
      </c>
      <c r="B531" s="4" t="s">
        <v>1342</v>
      </c>
      <c r="C531" s="4" t="s">
        <v>50</v>
      </c>
      <c r="D531" s="4" t="s">
        <v>81</v>
      </c>
      <c r="E531" s="4" t="s">
        <v>77</v>
      </c>
      <c r="F531" s="4" t="n">
        <v>1</v>
      </c>
      <c r="G531" s="4" t="s">
        <v>1343</v>
      </c>
      <c r="H531" s="4" t="s">
        <v>73</v>
      </c>
      <c r="I531" s="4" t="s">
        <v>1045</v>
      </c>
      <c r="J531" s="6" t="n">
        <f aca="false">IFERROR(DATEVALUE(B531),"")</f>
        <v>45750</v>
      </c>
      <c r="K531" s="4" t="str">
        <f aca="false">IF(A531="","",PROPER(TRIM(C531)))</f>
        <v>Midwest</v>
      </c>
      <c r="L531" s="4" t="str">
        <f aca="false">IF(A531="","",PROPER(TRIM(D531)))</f>
        <v>Footwear</v>
      </c>
      <c r="M531" s="4" t="n">
        <f aca="false">IFERROR(VALUE(F531),0)</f>
        <v>1</v>
      </c>
      <c r="N531" s="7" t="n">
        <f aca="false">IFERROR(VALUE(SUBSTITUTE(G531,"$","")),0)</f>
        <v>118.84</v>
      </c>
      <c r="O531" s="4" t="n">
        <f aca="false">IF(A531="",0,IF(COUNTIF($A$2:A531,A531)&gt;1,1,0))</f>
        <v>0</v>
      </c>
      <c r="P531" s="4" t="n">
        <f aca="false">IF(AND(A531&lt;&gt;"",J531&lt;&gt;"",M531&gt;0,N531&gt;0,O531=0),1,0)</f>
        <v>1</v>
      </c>
      <c r="Q531" s="7" t="n">
        <f aca="false">IF(P531=1,M531*N531,0)</f>
        <v>118.84</v>
      </c>
    </row>
    <row r="532" customFormat="false" ht="15" hidden="false" customHeight="false" outlineLevel="0" collapsed="false">
      <c r="A532" s="4" t="n">
        <v>10768</v>
      </c>
      <c r="B532" s="4" t="s">
        <v>1344</v>
      </c>
      <c r="C532" s="4" t="s">
        <v>50</v>
      </c>
      <c r="D532" s="4" t="s">
        <v>387</v>
      </c>
      <c r="E532" s="4" t="s">
        <v>71</v>
      </c>
      <c r="F532" s="4" t="n">
        <v>2</v>
      </c>
      <c r="G532" s="4" t="s">
        <v>1345</v>
      </c>
      <c r="H532" s="4" t="s">
        <v>73</v>
      </c>
      <c r="I532" s="4" t="s">
        <v>455</v>
      </c>
      <c r="J532" s="6" t="n">
        <f aca="false">IFERROR(DATEVALUE(B532),"")</f>
        <v>45603</v>
      </c>
      <c r="K532" s="4" t="str">
        <f aca="false">IF(A532="","",PROPER(TRIM(C532)))</f>
        <v>Midwest</v>
      </c>
      <c r="L532" s="4" t="str">
        <f aca="false">IF(A532="","",PROPER(TRIM(D532)))</f>
        <v>Camping Gear</v>
      </c>
      <c r="M532" s="4" t="n">
        <f aca="false">IFERROR(VALUE(F532),0)</f>
        <v>2</v>
      </c>
      <c r="N532" s="7" t="n">
        <f aca="false">IFERROR(VALUE(SUBSTITUTE(G532,"$","")),0)</f>
        <v>73.62</v>
      </c>
      <c r="O532" s="4" t="n">
        <f aca="false">IF(A532="",0,IF(COUNTIF($A$2:A532,A532)&gt;1,1,0))</f>
        <v>0</v>
      </c>
      <c r="P532" s="4" t="n">
        <f aca="false">IF(AND(A532&lt;&gt;"",J532&lt;&gt;"",M532&gt;0,N532&gt;0,O532=0),1,0)</f>
        <v>1</v>
      </c>
      <c r="Q532" s="7" t="n">
        <f aca="false">IF(P532=1,M532*N532,0)</f>
        <v>147.24</v>
      </c>
    </row>
    <row r="533" customFormat="false" ht="15" hidden="false" customHeight="false" outlineLevel="0" collapsed="false">
      <c r="A533" s="4" t="n">
        <v>10686</v>
      </c>
      <c r="B533" s="4" t="s">
        <v>1346</v>
      </c>
      <c r="C533" s="4" t="s">
        <v>140</v>
      </c>
      <c r="D533" s="4" t="s">
        <v>217</v>
      </c>
      <c r="E533" s="4" t="s">
        <v>116</v>
      </c>
      <c r="F533" s="4" t="n">
        <v>3</v>
      </c>
      <c r="G533" s="4" t="s">
        <v>1347</v>
      </c>
      <c r="H533" s="4" t="s">
        <v>73</v>
      </c>
      <c r="I533" s="4" t="s">
        <v>379</v>
      </c>
      <c r="J533" s="6" t="n">
        <f aca="false">IFERROR(DATEVALUE(B533),"")</f>
        <v>45790</v>
      </c>
      <c r="K533" s="4" t="str">
        <f aca="false">IF(A533="","",PROPER(TRIM(C533)))</f>
        <v>South</v>
      </c>
      <c r="L533" s="4" t="str">
        <f aca="false">IF(A533="","",PROPER(TRIM(D533)))</f>
        <v>Apparel</v>
      </c>
      <c r="M533" s="4" t="n">
        <f aca="false">IFERROR(VALUE(F533),0)</f>
        <v>3</v>
      </c>
      <c r="N533" s="7" t="n">
        <f aca="false">IFERROR(VALUE(SUBSTITUTE(G533,"$","")),0)</f>
        <v>69.16</v>
      </c>
      <c r="O533" s="4" t="n">
        <f aca="false">IF(A533="",0,IF(COUNTIF($A$2:A533,A533)&gt;1,1,0))</f>
        <v>0</v>
      </c>
      <c r="P533" s="4" t="n">
        <f aca="false">IF(AND(A533&lt;&gt;"",J533&lt;&gt;"",M533&gt;0,N533&gt;0,O533=0),1,0)</f>
        <v>1</v>
      </c>
      <c r="Q533" s="7" t="n">
        <f aca="false">IF(P533=1,M533*N533,0)</f>
        <v>207.48</v>
      </c>
    </row>
    <row r="534" customFormat="false" ht="15" hidden="false" customHeight="false" outlineLevel="0" collapsed="false">
      <c r="A534" s="4" t="n">
        <v>10076</v>
      </c>
      <c r="B534" s="4" t="s">
        <v>1348</v>
      </c>
      <c r="C534" s="4" t="s">
        <v>93</v>
      </c>
      <c r="D534" s="4" t="s">
        <v>124</v>
      </c>
      <c r="E534" s="4" t="s">
        <v>94</v>
      </c>
      <c r="F534" s="4" t="n">
        <v>1</v>
      </c>
      <c r="G534" s="4" t="s">
        <v>1349</v>
      </c>
      <c r="H534" s="4" t="s">
        <v>54</v>
      </c>
      <c r="I534" s="4" t="s">
        <v>984</v>
      </c>
      <c r="J534" s="6" t="n">
        <f aca="false">IFERROR(DATEVALUE(B534),"")</f>
        <v>45562</v>
      </c>
      <c r="K534" s="4" t="str">
        <f aca="false">IF(A534="","",PROPER(TRIM(C534)))</f>
        <v>West</v>
      </c>
      <c r="L534" s="4" t="str">
        <f aca="false">IF(A534="","",PROPER(TRIM(D534)))</f>
        <v>Climbing Gear</v>
      </c>
      <c r="M534" s="4" t="n">
        <f aca="false">IFERROR(VALUE(F534),0)</f>
        <v>1</v>
      </c>
      <c r="N534" s="7" t="n">
        <f aca="false">IFERROR(VALUE(SUBSTITUTE(G534,"$","")),0)</f>
        <v>175.67</v>
      </c>
      <c r="O534" s="4" t="n">
        <f aca="false">IF(A534="",0,IF(COUNTIF($A$2:A534,A534)&gt;1,1,0))</f>
        <v>0</v>
      </c>
      <c r="P534" s="4" t="n">
        <f aca="false">IF(AND(A534&lt;&gt;"",J534&lt;&gt;"",M534&gt;0,N534&gt;0,O534=0),1,0)</f>
        <v>1</v>
      </c>
      <c r="Q534" s="7" t="n">
        <f aca="false">IF(P534=1,M534*N534,0)</f>
        <v>175.67</v>
      </c>
    </row>
    <row r="535" customFormat="false" ht="15" hidden="false" customHeight="false" outlineLevel="0" collapsed="false">
      <c r="A535" s="4" t="n">
        <v>10367</v>
      </c>
      <c r="B535" s="4" t="s">
        <v>1350</v>
      </c>
      <c r="C535" s="4" t="s">
        <v>321</v>
      </c>
      <c r="D535" s="4" t="s">
        <v>70</v>
      </c>
      <c r="E535" s="4" t="s">
        <v>251</v>
      </c>
      <c r="F535" s="4" t="n">
        <v>5</v>
      </c>
      <c r="G535" s="4" t="s">
        <v>1351</v>
      </c>
      <c r="H535" s="4" t="s">
        <v>73</v>
      </c>
      <c r="I535" s="4" t="s">
        <v>307</v>
      </c>
      <c r="J535" s="6" t="n">
        <f aca="false">IFERROR(DATEVALUE(B535),"")</f>
        <v>45519</v>
      </c>
      <c r="K535" s="4" t="str">
        <f aca="false">IF(A535="","",PROPER(TRIM(C535)))</f>
        <v>West</v>
      </c>
      <c r="L535" s="4" t="str">
        <f aca="false">IF(A535="","",PROPER(TRIM(D535)))</f>
        <v>Camping Gear</v>
      </c>
      <c r="M535" s="4" t="n">
        <f aca="false">IFERROR(VALUE(F535),0)</f>
        <v>5</v>
      </c>
      <c r="N535" s="7" t="n">
        <f aca="false">IFERROR(VALUE(SUBSTITUTE(G535,"$","")),0)</f>
        <v>87.29</v>
      </c>
      <c r="O535" s="4" t="n">
        <f aca="false">IF(A535="",0,IF(COUNTIF($A$2:A535,A535)&gt;1,1,0))</f>
        <v>0</v>
      </c>
      <c r="P535" s="4" t="n">
        <f aca="false">IF(AND(A535&lt;&gt;"",J535&lt;&gt;"",M535&gt;0,N535&gt;0,O535=0),1,0)</f>
        <v>1</v>
      </c>
      <c r="Q535" s="7" t="n">
        <f aca="false">IF(P535=1,M535*N535,0)</f>
        <v>436.45</v>
      </c>
    </row>
    <row r="536" customFormat="false" ht="15" hidden="false" customHeight="false" outlineLevel="0" collapsed="false">
      <c r="A536" s="4" t="n">
        <v>10027</v>
      </c>
      <c r="B536" s="4" t="s">
        <v>1352</v>
      </c>
      <c r="C536" s="4" t="s">
        <v>80</v>
      </c>
      <c r="D536" s="4" t="s">
        <v>141</v>
      </c>
      <c r="E536" s="4" t="s">
        <v>142</v>
      </c>
      <c r="F536" s="4" t="n">
        <v>1</v>
      </c>
      <c r="G536" s="4" t="s">
        <v>1353</v>
      </c>
      <c r="H536" s="4" t="s">
        <v>47</v>
      </c>
      <c r="I536" s="4" t="s">
        <v>938</v>
      </c>
      <c r="J536" s="6" t="n">
        <f aca="false">IFERROR(DATEVALUE(B536),"")</f>
        <v>45416</v>
      </c>
      <c r="K536" s="4" t="str">
        <f aca="false">IF(A536="","",PROPER(TRIM(C536)))</f>
        <v>South</v>
      </c>
      <c r="L536" s="4" t="str">
        <f aca="false">IF(A536="","",PROPER(TRIM(D536)))</f>
        <v>Apparel</v>
      </c>
      <c r="M536" s="4" t="n">
        <f aca="false">IFERROR(VALUE(F536),0)</f>
        <v>1</v>
      </c>
      <c r="N536" s="7" t="n">
        <f aca="false">IFERROR(VALUE(SUBSTITUTE(G536,"$","")),0)</f>
        <v>173.89</v>
      </c>
      <c r="O536" s="4" t="n">
        <f aca="false">IF(A536="",0,IF(COUNTIF($A$2:A536,A536)&gt;1,1,0))</f>
        <v>0</v>
      </c>
      <c r="P536" s="4" t="n">
        <f aca="false">IF(AND(A536&lt;&gt;"",J536&lt;&gt;"",M536&gt;0,N536&gt;0,O536=0),1,0)</f>
        <v>1</v>
      </c>
      <c r="Q536" s="7" t="n">
        <f aca="false">IF(P536=1,M536*N536,0)</f>
        <v>173.89</v>
      </c>
    </row>
    <row r="537" customFormat="false" ht="15" hidden="false" customHeight="false" outlineLevel="0" collapsed="false">
      <c r="A537" s="4" t="n">
        <v>10571</v>
      </c>
      <c r="B537" s="4" t="s">
        <v>1114</v>
      </c>
      <c r="C537" s="4" t="s">
        <v>93</v>
      </c>
      <c r="D537" s="4" t="s">
        <v>124</v>
      </c>
      <c r="E537" s="4" t="s">
        <v>59</v>
      </c>
      <c r="F537" s="4" t="n">
        <v>2</v>
      </c>
      <c r="G537" s="4" t="s">
        <v>1354</v>
      </c>
      <c r="H537" s="4" t="s">
        <v>73</v>
      </c>
      <c r="I537" s="4" t="s">
        <v>467</v>
      </c>
      <c r="J537" s="6" t="n">
        <f aca="false">IFERROR(DATEVALUE(B537),"")</f>
        <v>45692</v>
      </c>
      <c r="K537" s="4" t="str">
        <f aca="false">IF(A537="","",PROPER(TRIM(C537)))</f>
        <v>West</v>
      </c>
      <c r="L537" s="4" t="str">
        <f aca="false">IF(A537="","",PROPER(TRIM(D537)))</f>
        <v>Climbing Gear</v>
      </c>
      <c r="M537" s="4" t="n">
        <f aca="false">IFERROR(VALUE(F537),0)</f>
        <v>2</v>
      </c>
      <c r="N537" s="7" t="n">
        <f aca="false">IFERROR(VALUE(SUBSTITUTE(G537,"$","")),0)</f>
        <v>45.39</v>
      </c>
      <c r="O537" s="4" t="n">
        <f aca="false">IF(A537="",0,IF(COUNTIF($A$2:A537,A537)&gt;1,1,0))</f>
        <v>0</v>
      </c>
      <c r="P537" s="4" t="n">
        <f aca="false">IF(AND(A537&lt;&gt;"",J537&lt;&gt;"",M537&gt;0,N537&gt;0,O537=0),1,0)</f>
        <v>1</v>
      </c>
      <c r="Q537" s="7" t="n">
        <f aca="false">IF(P537=1,M537*N537,0)</f>
        <v>90.78</v>
      </c>
    </row>
    <row r="538" customFormat="false" ht="15" hidden="false" customHeight="false" outlineLevel="0" collapsed="false">
      <c r="A538" s="4" t="n">
        <v>10008</v>
      </c>
      <c r="B538" s="4" t="s">
        <v>1355</v>
      </c>
      <c r="C538" s="4" t="s">
        <v>43</v>
      </c>
      <c r="D538" s="4" t="s">
        <v>70</v>
      </c>
      <c r="E538" s="4" t="s">
        <v>448</v>
      </c>
      <c r="F538" s="4" t="n">
        <v>2</v>
      </c>
      <c r="G538" s="4" t="s">
        <v>1356</v>
      </c>
      <c r="H538" s="4" t="s">
        <v>73</v>
      </c>
      <c r="I538" s="4" t="s">
        <v>446</v>
      </c>
      <c r="J538" s="6" t="n">
        <f aca="false">IFERROR(DATEVALUE(B538),"")</f>
        <v>45577</v>
      </c>
      <c r="K538" s="4" t="str">
        <f aca="false">IF(A538="","",PROPER(TRIM(C538)))</f>
        <v>South</v>
      </c>
      <c r="L538" s="4" t="str">
        <f aca="false">IF(A538="","",PROPER(TRIM(D538)))</f>
        <v>Camping Gear</v>
      </c>
      <c r="M538" s="4" t="n">
        <f aca="false">IFERROR(VALUE(F538),0)</f>
        <v>2</v>
      </c>
      <c r="N538" s="7" t="n">
        <f aca="false">IFERROR(VALUE(SUBSTITUTE(G538,"$","")),0)</f>
        <v>209.9</v>
      </c>
      <c r="O538" s="4" t="n">
        <f aca="false">IF(A538="",0,IF(COUNTIF($A$2:A538,A538)&gt;1,1,0))</f>
        <v>0</v>
      </c>
      <c r="P538" s="4" t="n">
        <f aca="false">IF(AND(A538&lt;&gt;"",J538&lt;&gt;"",M538&gt;0,N538&gt;0,O538=0),1,0)</f>
        <v>1</v>
      </c>
      <c r="Q538" s="7" t="n">
        <f aca="false">IF(P538=1,M538*N538,0)</f>
        <v>419.8</v>
      </c>
    </row>
    <row r="539" customFormat="false" ht="15" hidden="false" customHeight="false" outlineLevel="0" collapsed="false">
      <c r="A539" s="4" t="n">
        <v>10718</v>
      </c>
      <c r="B539" s="4" t="s">
        <v>136</v>
      </c>
      <c r="C539" s="4" t="s">
        <v>149</v>
      </c>
      <c r="D539" s="4" t="s">
        <v>101</v>
      </c>
      <c r="E539" s="4" t="s">
        <v>52</v>
      </c>
      <c r="F539" s="4" t="n">
        <v>3</v>
      </c>
      <c r="G539" s="4" t="s">
        <v>1357</v>
      </c>
      <c r="H539" s="4" t="s">
        <v>47</v>
      </c>
      <c r="I539" s="4" t="s">
        <v>1171</v>
      </c>
      <c r="J539" s="6" t="str">
        <f aca="false">IFERROR(DATEVALUE(B539),"")</f>
        <v/>
      </c>
      <c r="K539" s="4" t="str">
        <f aca="false">IF(A539="","",PROPER(TRIM(C539)))</f>
        <v>East</v>
      </c>
      <c r="L539" s="4" t="str">
        <f aca="false">IF(A539="","",PROPER(TRIM(D539)))</f>
        <v>Accessories</v>
      </c>
      <c r="M539" s="4" t="n">
        <f aca="false">IFERROR(VALUE(F539),0)</f>
        <v>3</v>
      </c>
      <c r="N539" s="7" t="n">
        <f aca="false">IFERROR(VALUE(SUBSTITUTE(G539,"$","")),0)</f>
        <v>96.08</v>
      </c>
      <c r="O539" s="4" t="n">
        <f aca="false">IF(A539="",0,IF(COUNTIF($A$2:A539,A539)&gt;1,1,0))</f>
        <v>0</v>
      </c>
      <c r="P539" s="4" t="n">
        <f aca="false">IF(AND(A539&lt;&gt;"",J539&lt;&gt;"",M539&gt;0,N539&gt;0,O539=0),1,0)</f>
        <v>0</v>
      </c>
      <c r="Q539" s="7" t="n">
        <f aca="false">IF(P539=1,M539*N539,0)</f>
        <v>0</v>
      </c>
    </row>
    <row r="540" customFormat="false" ht="15" hidden="false" customHeight="false" outlineLevel="0" collapsed="false">
      <c r="A540" s="4" t="n">
        <v>10226</v>
      </c>
      <c r="B540" s="4" t="s">
        <v>280</v>
      </c>
      <c r="C540" s="4" t="s">
        <v>229</v>
      </c>
      <c r="D540" s="4" t="s">
        <v>141</v>
      </c>
      <c r="E540" s="4" t="s">
        <v>89</v>
      </c>
      <c r="F540" s="4" t="n">
        <v>1</v>
      </c>
      <c r="G540" s="4" t="s">
        <v>1358</v>
      </c>
      <c r="H540" s="4" t="s">
        <v>54</v>
      </c>
      <c r="I540" s="4" t="s">
        <v>138</v>
      </c>
      <c r="J540" s="6" t="str">
        <f aca="false">IFERROR(DATEVALUE(B540),"")</f>
        <v/>
      </c>
      <c r="K540" s="4" t="str">
        <f aca="false">IF(A540="","",PROPER(TRIM(C540)))</f>
        <v>Midwest</v>
      </c>
      <c r="L540" s="4" t="str">
        <f aca="false">IF(A540="","",PROPER(TRIM(D540)))</f>
        <v>Apparel</v>
      </c>
      <c r="M540" s="4" t="n">
        <f aca="false">IFERROR(VALUE(F540),0)</f>
        <v>1</v>
      </c>
      <c r="N540" s="7" t="n">
        <f aca="false">IFERROR(VALUE(SUBSTITUTE(G540,"$","")),0)</f>
        <v>60.02</v>
      </c>
      <c r="O540" s="4" t="n">
        <f aca="false">IF(A540="",0,IF(COUNTIF($A$2:A540,A540)&gt;1,1,0))</f>
        <v>0</v>
      </c>
      <c r="P540" s="4" t="n">
        <f aca="false">IF(AND(A540&lt;&gt;"",J540&lt;&gt;"",M540&gt;0,N540&gt;0,O540=0),1,0)</f>
        <v>0</v>
      </c>
      <c r="Q540" s="7" t="n">
        <f aca="false">IF(P540=1,M540*N540,0)</f>
        <v>0</v>
      </c>
    </row>
    <row r="541" customFormat="false" ht="15" hidden="false" customHeight="false" outlineLevel="0" collapsed="false">
      <c r="A541" s="4" t="n">
        <v>10380</v>
      </c>
      <c r="B541" s="4" t="s">
        <v>1013</v>
      </c>
      <c r="C541" s="4" t="s">
        <v>110</v>
      </c>
      <c r="D541" s="4" t="s">
        <v>156</v>
      </c>
      <c r="E541" s="4" t="s">
        <v>188</v>
      </c>
      <c r="F541" s="4" t="n">
        <v>5</v>
      </c>
      <c r="G541" s="4" t="s">
        <v>1014</v>
      </c>
      <c r="H541" s="4" t="s">
        <v>47</v>
      </c>
      <c r="I541" s="4" t="s">
        <v>1015</v>
      </c>
      <c r="J541" s="6" t="n">
        <f aca="false">IFERROR(DATEVALUE(B541),"")</f>
        <v>45451</v>
      </c>
      <c r="K541" s="4" t="str">
        <f aca="false">IF(A541="","",PROPER(TRIM(C541)))</f>
        <v>Midwest</v>
      </c>
      <c r="L541" s="4" t="str">
        <f aca="false">IF(A541="","",PROPER(TRIM(D541)))</f>
        <v>Climbing Gear</v>
      </c>
      <c r="M541" s="4" t="n">
        <f aca="false">IFERROR(VALUE(F541),0)</f>
        <v>5</v>
      </c>
      <c r="N541" s="7" t="n">
        <f aca="false">IFERROR(VALUE(SUBSTITUTE(G541,"$","")),0)</f>
        <v>19.43</v>
      </c>
      <c r="O541" s="4" t="n">
        <f aca="false">IF(A541="",0,IF(COUNTIF($A$2:A541,A541)&gt;1,1,0))</f>
        <v>1</v>
      </c>
      <c r="P541" s="4" t="n">
        <f aca="false">IF(AND(A541&lt;&gt;"",J541&lt;&gt;"",M541&gt;0,N541&gt;0,O541=0),1,0)</f>
        <v>0</v>
      </c>
      <c r="Q541" s="7" t="n">
        <f aca="false">IF(P541=1,M541*N541,0)</f>
        <v>0</v>
      </c>
    </row>
    <row r="542" customFormat="false" ht="15" hidden="false" customHeight="false" outlineLevel="0" collapsed="false">
      <c r="A542" s="4" t="n">
        <v>10067</v>
      </c>
      <c r="B542" s="4" t="s">
        <v>1359</v>
      </c>
      <c r="C542" s="4" t="s">
        <v>332</v>
      </c>
      <c r="D542" s="4" t="s">
        <v>115</v>
      </c>
      <c r="E542" s="4" t="s">
        <v>116</v>
      </c>
      <c r="F542" s="4" t="n">
        <v>4</v>
      </c>
      <c r="G542" s="4" t="s">
        <v>1360</v>
      </c>
      <c r="H542" s="4" t="s">
        <v>73</v>
      </c>
      <c r="I542" s="4" t="s">
        <v>1010</v>
      </c>
      <c r="J542" s="6" t="n">
        <f aca="false">IFERROR(DATEVALUE(B542),"")</f>
        <v>45500</v>
      </c>
      <c r="K542" s="4" t="str">
        <f aca="false">IF(A542="","",PROPER(TRIM(C542)))</f>
        <v>West</v>
      </c>
      <c r="L542" s="4" t="str">
        <f aca="false">IF(A542="","",PROPER(TRIM(D542)))</f>
        <v>Apparel</v>
      </c>
      <c r="M542" s="4" t="n">
        <f aca="false">IFERROR(VALUE(F542),0)</f>
        <v>4</v>
      </c>
      <c r="N542" s="7" t="n">
        <f aca="false">IFERROR(VALUE(SUBSTITUTE(G542,"$","")),0)</f>
        <v>75.73</v>
      </c>
      <c r="O542" s="4" t="n">
        <f aca="false">IF(A542="",0,IF(COUNTIF($A$2:A542,A542)&gt;1,1,0))</f>
        <v>0</v>
      </c>
      <c r="P542" s="4" t="n">
        <f aca="false">IF(AND(A542&lt;&gt;"",J542&lt;&gt;"",M542&gt;0,N542&gt;0,O542=0),1,0)</f>
        <v>1</v>
      </c>
      <c r="Q542" s="7" t="n">
        <f aca="false">IF(P542=1,M542*N542,0)</f>
        <v>302.92</v>
      </c>
    </row>
    <row r="543" customFormat="false" ht="15" hidden="false" customHeight="false" outlineLevel="0" collapsed="false">
      <c r="A543" s="4" t="n">
        <v>10480</v>
      </c>
      <c r="B543" s="4" t="s">
        <v>1361</v>
      </c>
      <c r="C543" s="4" t="s">
        <v>541</v>
      </c>
      <c r="D543" s="4" t="s">
        <v>217</v>
      </c>
      <c r="E543" s="4" t="s">
        <v>89</v>
      </c>
      <c r="F543" s="4" t="n">
        <v>3</v>
      </c>
      <c r="G543" s="4" t="s">
        <v>1362</v>
      </c>
      <c r="H543" s="4" t="s">
        <v>54</v>
      </c>
      <c r="I543" s="4" t="s">
        <v>200</v>
      </c>
      <c r="J543" s="6" t="n">
        <f aca="false">IFERROR(DATEVALUE(B543),"")</f>
        <v>45563</v>
      </c>
      <c r="K543" s="4" t="str">
        <f aca="false">IF(A543="","",PROPER(TRIM(C543)))</f>
        <v>West</v>
      </c>
      <c r="L543" s="4" t="str">
        <f aca="false">IF(A543="","",PROPER(TRIM(D543)))</f>
        <v>Apparel</v>
      </c>
      <c r="M543" s="4" t="n">
        <f aca="false">IFERROR(VALUE(F543),0)</f>
        <v>3</v>
      </c>
      <c r="N543" s="7" t="n">
        <f aca="false">IFERROR(VALUE(SUBSTITUTE(G543,"$","")),0)</f>
        <v>63.65</v>
      </c>
      <c r="O543" s="4" t="n">
        <f aca="false">IF(A543="",0,IF(COUNTIF($A$2:A543,A543)&gt;1,1,0))</f>
        <v>0</v>
      </c>
      <c r="P543" s="4" t="n">
        <f aca="false">IF(AND(A543&lt;&gt;"",J543&lt;&gt;"",M543&gt;0,N543&gt;0,O543=0),1,0)</f>
        <v>1</v>
      </c>
      <c r="Q543" s="7" t="n">
        <f aca="false">IF(P543=1,M543*N543,0)</f>
        <v>190.95</v>
      </c>
    </row>
    <row r="544" customFormat="false" ht="15" hidden="false" customHeight="false" outlineLevel="0" collapsed="false">
      <c r="A544" s="4" t="n">
        <v>10203</v>
      </c>
      <c r="B544" s="4" t="s">
        <v>1363</v>
      </c>
      <c r="C544" s="4" t="s">
        <v>133</v>
      </c>
      <c r="D544" s="4" t="s">
        <v>101</v>
      </c>
      <c r="E544" s="4" t="s">
        <v>52</v>
      </c>
      <c r="F544" s="4" t="n">
        <v>2</v>
      </c>
      <c r="G544" s="4" t="s">
        <v>1364</v>
      </c>
      <c r="H544" s="4" t="s">
        <v>54</v>
      </c>
      <c r="I544" s="4" t="s">
        <v>355</v>
      </c>
      <c r="J544" s="6" t="n">
        <f aca="false">IFERROR(DATEVALUE(B544),"")</f>
        <v>45630</v>
      </c>
      <c r="K544" s="4" t="str">
        <f aca="false">IF(A544="","",PROPER(TRIM(C544)))</f>
        <v>East</v>
      </c>
      <c r="L544" s="4" t="str">
        <f aca="false">IF(A544="","",PROPER(TRIM(D544)))</f>
        <v>Accessories</v>
      </c>
      <c r="M544" s="4" t="n">
        <f aca="false">IFERROR(VALUE(F544),0)</f>
        <v>2</v>
      </c>
      <c r="N544" s="7" t="n">
        <f aca="false">IFERROR(VALUE(SUBSTITUTE(G544,"$","")),0)</f>
        <v>90.46</v>
      </c>
      <c r="O544" s="4" t="n">
        <f aca="false">IF(A544="",0,IF(COUNTIF($A$2:A544,A544)&gt;1,1,0))</f>
        <v>0</v>
      </c>
      <c r="P544" s="4" t="n">
        <f aca="false">IF(AND(A544&lt;&gt;"",J544&lt;&gt;"",M544&gt;0,N544&gt;0,O544=0),1,0)</f>
        <v>1</v>
      </c>
      <c r="Q544" s="7" t="n">
        <f aca="false">IF(P544=1,M544*N544,0)</f>
        <v>180.92</v>
      </c>
    </row>
    <row r="545" customFormat="false" ht="15" hidden="false" customHeight="false" outlineLevel="0" collapsed="false">
      <c r="A545" s="4" t="n">
        <v>10011</v>
      </c>
      <c r="B545" s="4" t="s">
        <v>1365</v>
      </c>
      <c r="C545" s="4" t="s">
        <v>93</v>
      </c>
      <c r="D545" s="4" t="s">
        <v>230</v>
      </c>
      <c r="E545" s="4" t="s">
        <v>142</v>
      </c>
      <c r="F545" s="4" t="n">
        <v>2</v>
      </c>
      <c r="G545" s="4" t="s">
        <v>1366</v>
      </c>
      <c r="H545" s="4" t="s">
        <v>47</v>
      </c>
      <c r="I545" s="4" t="s">
        <v>526</v>
      </c>
      <c r="J545" s="6" t="n">
        <f aca="false">IFERROR(DATEVALUE(B545),"")</f>
        <v>45318</v>
      </c>
      <c r="K545" s="4" t="str">
        <f aca="false">IF(A545="","",PROPER(TRIM(C545)))</f>
        <v>West</v>
      </c>
      <c r="L545" s="4" t="str">
        <f aca="false">IF(A545="","",PROPER(TRIM(D545)))</f>
        <v>Apparel</v>
      </c>
      <c r="M545" s="4" t="n">
        <f aca="false">IFERROR(VALUE(F545),0)</f>
        <v>2</v>
      </c>
      <c r="N545" s="7" t="n">
        <f aca="false">IFERROR(VALUE(SUBSTITUTE(G545,"$","")),0)</f>
        <v>204.69</v>
      </c>
      <c r="O545" s="4" t="n">
        <f aca="false">IF(A545="",0,IF(COUNTIF($A$2:A545,A545)&gt;1,1,0))</f>
        <v>0</v>
      </c>
      <c r="P545" s="4" t="n">
        <f aca="false">IF(AND(A545&lt;&gt;"",J545&lt;&gt;"",M545&gt;0,N545&gt;0,O545=0),1,0)</f>
        <v>1</v>
      </c>
      <c r="Q545" s="7" t="n">
        <f aca="false">IF(P545=1,M545*N545,0)</f>
        <v>409.38</v>
      </c>
    </row>
    <row r="546" customFormat="false" ht="15" hidden="false" customHeight="false" outlineLevel="0" collapsed="false">
      <c r="A546" s="4" t="n">
        <v>10590</v>
      </c>
      <c r="B546" s="4" t="s">
        <v>341</v>
      </c>
      <c r="C546" s="4" t="s">
        <v>155</v>
      </c>
      <c r="D546" s="4" t="s">
        <v>217</v>
      </c>
      <c r="E546" s="4" t="s">
        <v>142</v>
      </c>
      <c r="F546" s="4" t="n">
        <v>4</v>
      </c>
      <c r="G546" s="4" t="s">
        <v>1367</v>
      </c>
      <c r="H546" s="4" t="s">
        <v>73</v>
      </c>
      <c r="I546" s="4" t="s">
        <v>738</v>
      </c>
      <c r="J546" s="6" t="n">
        <f aca="false">IFERROR(DATEVALUE(B546),"")</f>
        <v>45491</v>
      </c>
      <c r="K546" s="4" t="str">
        <f aca="false">IF(A546="","",PROPER(TRIM(C546)))</f>
        <v>South</v>
      </c>
      <c r="L546" s="4" t="str">
        <f aca="false">IF(A546="","",PROPER(TRIM(D546)))</f>
        <v>Apparel</v>
      </c>
      <c r="M546" s="4" t="n">
        <f aca="false">IFERROR(VALUE(F546),0)</f>
        <v>4</v>
      </c>
      <c r="N546" s="7" t="n">
        <f aca="false">IFERROR(VALUE(SUBSTITUTE(G546,"$","")),0)</f>
        <v>198.07</v>
      </c>
      <c r="O546" s="4" t="n">
        <f aca="false">IF(A546="",0,IF(COUNTIF($A$2:A546,A546)&gt;1,1,0))</f>
        <v>0</v>
      </c>
      <c r="P546" s="4" t="n">
        <f aca="false">IF(AND(A546&lt;&gt;"",J546&lt;&gt;"",M546&gt;0,N546&gt;0,O546=0),1,0)</f>
        <v>1</v>
      </c>
      <c r="Q546" s="7" t="n">
        <f aca="false">IF(P546=1,M546*N546,0)</f>
        <v>792.28</v>
      </c>
    </row>
    <row r="547" customFormat="false" ht="15" hidden="false" customHeight="false" outlineLevel="0" collapsed="false">
      <c r="A547" s="4" t="n">
        <v>10287</v>
      </c>
      <c r="B547" s="4" t="s">
        <v>1368</v>
      </c>
      <c r="C547" s="4" t="s">
        <v>50</v>
      </c>
      <c r="D547" s="4" t="s">
        <v>141</v>
      </c>
      <c r="E547" s="4" t="s">
        <v>243</v>
      </c>
      <c r="F547" s="4" t="n">
        <v>5</v>
      </c>
      <c r="G547" s="4"/>
      <c r="H547" s="4" t="s">
        <v>73</v>
      </c>
      <c r="I547" s="4" t="s">
        <v>338</v>
      </c>
      <c r="J547" s="6" t="n">
        <f aca="false">IFERROR(DATEVALUE(B547),"")</f>
        <v>45546</v>
      </c>
      <c r="K547" s="4" t="str">
        <f aca="false">IF(A547="","",PROPER(TRIM(C547)))</f>
        <v>Midwest</v>
      </c>
      <c r="L547" s="4" t="str">
        <f aca="false">IF(A547="","",PROPER(TRIM(D547)))</f>
        <v>Apparel</v>
      </c>
      <c r="M547" s="4" t="n">
        <f aca="false">IFERROR(VALUE(F547),0)</f>
        <v>5</v>
      </c>
      <c r="N547" s="7" t="n">
        <f aca="false">IFERROR(VALUE(SUBSTITUTE(G547,"$","")),0)</f>
        <v>0</v>
      </c>
      <c r="O547" s="4" t="n">
        <f aca="false">IF(A547="",0,IF(COUNTIF($A$2:A547,A547)&gt;1,1,0))</f>
        <v>0</v>
      </c>
      <c r="P547" s="4" t="n">
        <f aca="false">IF(AND(A547&lt;&gt;"",J547&lt;&gt;"",M547&gt;0,N547&gt;0,O547=0),1,0)</f>
        <v>0</v>
      </c>
      <c r="Q547" s="7" t="n">
        <f aca="false">IF(P547=1,M547*N547,0)</f>
        <v>0</v>
      </c>
    </row>
    <row r="548" customFormat="false" ht="15" hidden="false" customHeight="false" outlineLevel="0" collapsed="false">
      <c r="A548" s="4" t="n">
        <v>10276</v>
      </c>
      <c r="B548" s="4" t="s">
        <v>852</v>
      </c>
      <c r="C548" s="4" t="s">
        <v>120</v>
      </c>
      <c r="D548" s="4" t="s">
        <v>230</v>
      </c>
      <c r="E548" s="4" t="s">
        <v>116</v>
      </c>
      <c r="F548" s="4" t="n">
        <v>4</v>
      </c>
      <c r="G548" s="4" t="s">
        <v>1369</v>
      </c>
      <c r="H548" s="4" t="s">
        <v>47</v>
      </c>
      <c r="I548" s="4" t="s">
        <v>1171</v>
      </c>
      <c r="J548" s="6" t="n">
        <f aca="false">IFERROR(DATEVALUE(B548),"")</f>
        <v>45775</v>
      </c>
      <c r="K548" s="4" t="str">
        <f aca="false">IF(A548="","",PROPER(TRIM(C548)))</f>
        <v>East</v>
      </c>
      <c r="L548" s="4" t="str">
        <f aca="false">IF(A548="","",PROPER(TRIM(D548)))</f>
        <v>Apparel</v>
      </c>
      <c r="M548" s="4" t="n">
        <f aca="false">IFERROR(VALUE(F548),0)</f>
        <v>4</v>
      </c>
      <c r="N548" s="7" t="n">
        <f aca="false">IFERROR(VALUE(SUBSTITUTE(G548,"$","")),0)</f>
        <v>75.1</v>
      </c>
      <c r="O548" s="4" t="n">
        <f aca="false">IF(A548="",0,IF(COUNTIF($A$2:A548,A548)&gt;1,1,0))</f>
        <v>0</v>
      </c>
      <c r="P548" s="4" t="n">
        <f aca="false">IF(AND(A548&lt;&gt;"",J548&lt;&gt;"",M548&gt;0,N548&gt;0,O548=0),1,0)</f>
        <v>1</v>
      </c>
      <c r="Q548" s="7" t="n">
        <f aca="false">IF(P548=1,M548*N548,0)</f>
        <v>300.4</v>
      </c>
    </row>
    <row r="549" customFormat="false" ht="15" hidden="false" customHeight="false" outlineLevel="0" collapsed="false">
      <c r="A549" s="4" t="n">
        <v>10619</v>
      </c>
      <c r="B549" s="4" t="s">
        <v>444</v>
      </c>
      <c r="C549" s="4" t="s">
        <v>133</v>
      </c>
      <c r="D549" s="4" t="s">
        <v>124</v>
      </c>
      <c r="E549" s="4" t="s">
        <v>125</v>
      </c>
      <c r="F549" s="4" t="n">
        <v>1</v>
      </c>
      <c r="G549" s="4" t="s">
        <v>1370</v>
      </c>
      <c r="H549" s="4" t="s">
        <v>54</v>
      </c>
      <c r="I549" s="4" t="s">
        <v>1371</v>
      </c>
      <c r="J549" s="6" t="n">
        <f aca="false">IFERROR(DATEVALUE(B549),"")</f>
        <v>45496</v>
      </c>
      <c r="K549" s="4" t="str">
        <f aca="false">IF(A549="","",PROPER(TRIM(C549)))</f>
        <v>East</v>
      </c>
      <c r="L549" s="4" t="str">
        <f aca="false">IF(A549="","",PROPER(TRIM(D549)))</f>
        <v>Climbing Gear</v>
      </c>
      <c r="M549" s="4" t="n">
        <f aca="false">IFERROR(VALUE(F549),0)</f>
        <v>1</v>
      </c>
      <c r="N549" s="7" t="n">
        <f aca="false">IFERROR(VALUE(SUBSTITUTE(G549,"$","")),0)</f>
        <v>102.39</v>
      </c>
      <c r="O549" s="4" t="n">
        <f aca="false">IF(A549="",0,IF(COUNTIF($A$2:A549,A549)&gt;1,1,0))</f>
        <v>0</v>
      </c>
      <c r="P549" s="4" t="n">
        <f aca="false">IF(AND(A549&lt;&gt;"",J549&lt;&gt;"",M549&gt;0,N549&gt;0,O549=0),1,0)</f>
        <v>1</v>
      </c>
      <c r="Q549" s="7" t="n">
        <f aca="false">IF(P549=1,M549*N549,0)</f>
        <v>102.39</v>
      </c>
    </row>
    <row r="550" customFormat="false" ht="15" hidden="false" customHeight="false" outlineLevel="0" collapsed="false">
      <c r="A550" s="4" t="n">
        <v>10614</v>
      </c>
      <c r="B550" s="4" t="s">
        <v>1372</v>
      </c>
      <c r="C550" s="4" t="s">
        <v>93</v>
      </c>
      <c r="D550" s="4" t="s">
        <v>64</v>
      </c>
      <c r="E550" s="4" t="s">
        <v>77</v>
      </c>
      <c r="F550" s="4" t="n">
        <v>1</v>
      </c>
      <c r="G550" s="4" t="s">
        <v>1373</v>
      </c>
      <c r="H550" s="4" t="s">
        <v>73</v>
      </c>
      <c r="I550" s="4" t="s">
        <v>851</v>
      </c>
      <c r="J550" s="6" t="n">
        <f aca="false">IFERROR(DATEVALUE(B550),"")</f>
        <v>45616</v>
      </c>
      <c r="K550" s="4" t="str">
        <f aca="false">IF(A550="","",PROPER(TRIM(C550)))</f>
        <v>West</v>
      </c>
      <c r="L550" s="4" t="str">
        <f aca="false">IF(A550="","",PROPER(TRIM(D550)))</f>
        <v>Footwear</v>
      </c>
      <c r="M550" s="4" t="n">
        <f aca="false">IFERROR(VALUE(F550),0)</f>
        <v>1</v>
      </c>
      <c r="N550" s="7" t="n">
        <f aca="false">IFERROR(VALUE(SUBSTITUTE(G550,"$","")),0)</f>
        <v>148.14</v>
      </c>
      <c r="O550" s="4" t="n">
        <f aca="false">IF(A550="",0,IF(COUNTIF($A$2:A550,A550)&gt;1,1,0))</f>
        <v>0</v>
      </c>
      <c r="P550" s="4" t="n">
        <f aca="false">IF(AND(A550&lt;&gt;"",J550&lt;&gt;"",M550&gt;0,N550&gt;0,O550=0),1,0)</f>
        <v>1</v>
      </c>
      <c r="Q550" s="7" t="n">
        <f aca="false">IF(P550=1,M550*N550,0)</f>
        <v>148.14</v>
      </c>
    </row>
    <row r="551" customFormat="false" ht="15" hidden="false" customHeight="false" outlineLevel="0" collapsed="false">
      <c r="A551" s="4" t="n">
        <v>10300</v>
      </c>
      <c r="B551" s="4" t="s">
        <v>92</v>
      </c>
      <c r="C551" s="4" t="s">
        <v>50</v>
      </c>
      <c r="D551" s="4" t="s">
        <v>58</v>
      </c>
      <c r="E551" s="4" t="s">
        <v>125</v>
      </c>
      <c r="F551" s="4" t="n">
        <v>1</v>
      </c>
      <c r="G551" s="4" t="s">
        <v>1374</v>
      </c>
      <c r="H551" s="4" t="s">
        <v>73</v>
      </c>
      <c r="I551" s="4" t="s">
        <v>219</v>
      </c>
      <c r="J551" s="6" t="n">
        <f aca="false">IFERROR(DATEVALUE(B551),"")</f>
        <v>45304</v>
      </c>
      <c r="K551" s="4" t="str">
        <f aca="false">IF(A551="","",PROPER(TRIM(C551)))</f>
        <v>Midwest</v>
      </c>
      <c r="L551" s="4" t="str">
        <f aca="false">IF(A551="","",PROPER(TRIM(D551)))</f>
        <v>Climbing Gear</v>
      </c>
      <c r="M551" s="4" t="n">
        <f aca="false">IFERROR(VALUE(F551),0)</f>
        <v>1</v>
      </c>
      <c r="N551" s="7" t="n">
        <f aca="false">IFERROR(VALUE(SUBSTITUTE(G551,"$","")),0)</f>
        <v>101.62</v>
      </c>
      <c r="O551" s="4" t="n">
        <f aca="false">IF(A551="",0,IF(COUNTIF($A$2:A551,A551)&gt;1,1,0))</f>
        <v>0</v>
      </c>
      <c r="P551" s="4" t="n">
        <f aca="false">IF(AND(A551&lt;&gt;"",J551&lt;&gt;"",M551&gt;0,N551&gt;0,O551=0),1,0)</f>
        <v>1</v>
      </c>
      <c r="Q551" s="7" t="n">
        <f aca="false">IF(P551=1,M551*N551,0)</f>
        <v>101.62</v>
      </c>
    </row>
    <row r="552" customFormat="false" ht="15" hidden="false" customHeight="false" outlineLevel="0" collapsed="false">
      <c r="A552" s="4" t="n">
        <v>10402</v>
      </c>
      <c r="B552" s="4" t="s">
        <v>1375</v>
      </c>
      <c r="C552" s="4" t="s">
        <v>149</v>
      </c>
      <c r="D552" s="4" t="s">
        <v>124</v>
      </c>
      <c r="E552" s="4" t="s">
        <v>94</v>
      </c>
      <c r="F552" s="4" t="n">
        <v>1</v>
      </c>
      <c r="G552" s="4"/>
      <c r="H552" s="4" t="s">
        <v>54</v>
      </c>
      <c r="I552" s="4" t="s">
        <v>147</v>
      </c>
      <c r="J552" s="6" t="n">
        <f aca="false">IFERROR(DATEVALUE(B552),"")</f>
        <v>45605</v>
      </c>
      <c r="K552" s="4" t="str">
        <f aca="false">IF(A552="","",PROPER(TRIM(C552)))</f>
        <v>East</v>
      </c>
      <c r="L552" s="4" t="str">
        <f aca="false">IF(A552="","",PROPER(TRIM(D552)))</f>
        <v>Climbing Gear</v>
      </c>
      <c r="M552" s="4" t="n">
        <f aca="false">IFERROR(VALUE(F552),0)</f>
        <v>1</v>
      </c>
      <c r="N552" s="7" t="n">
        <f aca="false">IFERROR(VALUE(SUBSTITUTE(G552,"$","")),0)</f>
        <v>0</v>
      </c>
      <c r="O552" s="4" t="n">
        <f aca="false">IF(A552="",0,IF(COUNTIF($A$2:A552,A552)&gt;1,1,0))</f>
        <v>0</v>
      </c>
      <c r="P552" s="4" t="n">
        <f aca="false">IF(AND(A552&lt;&gt;"",J552&lt;&gt;"",M552&gt;0,N552&gt;0,O552=0),1,0)</f>
        <v>0</v>
      </c>
      <c r="Q552" s="7" t="n">
        <f aca="false">IF(P552=1,M552*N552,0)</f>
        <v>0</v>
      </c>
    </row>
    <row r="553" customFormat="false" ht="15" hidden="false" customHeight="false" outlineLevel="0" collapsed="false">
      <c r="A553" s="4" t="n">
        <v>10300</v>
      </c>
      <c r="B553" s="4" t="s">
        <v>92</v>
      </c>
      <c r="C553" s="4" t="s">
        <v>50</v>
      </c>
      <c r="D553" s="4" t="s">
        <v>58</v>
      </c>
      <c r="E553" s="4" t="s">
        <v>125</v>
      </c>
      <c r="F553" s="4" t="n">
        <v>1</v>
      </c>
      <c r="G553" s="4" t="s">
        <v>1374</v>
      </c>
      <c r="H553" s="4" t="s">
        <v>73</v>
      </c>
      <c r="I553" s="4" t="s">
        <v>219</v>
      </c>
      <c r="J553" s="6" t="n">
        <f aca="false">IFERROR(DATEVALUE(B553),"")</f>
        <v>45304</v>
      </c>
      <c r="K553" s="4" t="str">
        <f aca="false">IF(A553="","",PROPER(TRIM(C553)))</f>
        <v>Midwest</v>
      </c>
      <c r="L553" s="4" t="str">
        <f aca="false">IF(A553="","",PROPER(TRIM(D553)))</f>
        <v>Climbing Gear</v>
      </c>
      <c r="M553" s="4" t="n">
        <f aca="false">IFERROR(VALUE(F553),0)</f>
        <v>1</v>
      </c>
      <c r="N553" s="7" t="n">
        <f aca="false">IFERROR(VALUE(SUBSTITUTE(G553,"$","")),0)</f>
        <v>101.62</v>
      </c>
      <c r="O553" s="4" t="n">
        <f aca="false">IF(A553="",0,IF(COUNTIF($A$2:A553,A553)&gt;1,1,0))</f>
        <v>1</v>
      </c>
      <c r="P553" s="4" t="n">
        <f aca="false">IF(AND(A553&lt;&gt;"",J553&lt;&gt;"",M553&gt;0,N553&gt;0,O553=0),1,0)</f>
        <v>0</v>
      </c>
      <c r="Q553" s="7" t="n">
        <f aca="false">IF(P553=1,M553*N553,0)</f>
        <v>0</v>
      </c>
    </row>
    <row r="554" customFormat="false" ht="15" hidden="false" customHeight="false" outlineLevel="0" collapsed="false">
      <c r="A554" s="4" t="n">
        <v>10088</v>
      </c>
      <c r="B554" s="4" t="s">
        <v>1376</v>
      </c>
      <c r="C554" s="4" t="s">
        <v>435</v>
      </c>
      <c r="D554" s="4" t="s">
        <v>106</v>
      </c>
      <c r="E554" s="4" t="s">
        <v>77</v>
      </c>
      <c r="F554" s="4" t="n">
        <v>1</v>
      </c>
      <c r="G554" s="4" t="s">
        <v>1377</v>
      </c>
      <c r="H554" s="4" t="s">
        <v>73</v>
      </c>
      <c r="I554" s="4" t="s">
        <v>1231</v>
      </c>
      <c r="J554" s="6" t="n">
        <f aca="false">IFERROR(DATEVALUE(B554),"")</f>
        <v>45381</v>
      </c>
      <c r="K554" s="4" t="str">
        <f aca="false">IF(A554="","",PROPER(TRIM(C554)))</f>
        <v>Midwest</v>
      </c>
      <c r="L554" s="4" t="str">
        <f aca="false">IF(A554="","",PROPER(TRIM(D554)))</f>
        <v>Footwear</v>
      </c>
      <c r="M554" s="4" t="n">
        <f aca="false">IFERROR(VALUE(F554),0)</f>
        <v>1</v>
      </c>
      <c r="N554" s="7" t="n">
        <f aca="false">IFERROR(VALUE(SUBSTITUTE(G554,"$","")),0)</f>
        <v>147.84</v>
      </c>
      <c r="O554" s="4" t="n">
        <f aca="false">IF(A554="",0,IF(COUNTIF($A$2:A554,A554)&gt;1,1,0))</f>
        <v>0</v>
      </c>
      <c r="P554" s="4" t="n">
        <f aca="false">IF(AND(A554&lt;&gt;"",J554&lt;&gt;"",M554&gt;0,N554&gt;0,O554=0),1,0)</f>
        <v>1</v>
      </c>
      <c r="Q554" s="7" t="n">
        <f aca="false">IF(P554=1,M554*N554,0)</f>
        <v>147.84</v>
      </c>
    </row>
    <row r="555" customFormat="false" ht="15" hidden="false" customHeight="false" outlineLevel="0" collapsed="false">
      <c r="A555" s="4" t="n">
        <v>10242</v>
      </c>
      <c r="B555" s="4" t="s">
        <v>1378</v>
      </c>
      <c r="C555" s="4" t="s">
        <v>321</v>
      </c>
      <c r="D555" s="4" t="s">
        <v>387</v>
      </c>
      <c r="E555" s="4" t="s">
        <v>203</v>
      </c>
      <c r="F555" s="4" t="n">
        <v>2</v>
      </c>
      <c r="G555" s="4" t="s">
        <v>1379</v>
      </c>
      <c r="H555" s="4" t="s">
        <v>73</v>
      </c>
      <c r="I555" s="4" t="s">
        <v>1066</v>
      </c>
      <c r="J555" s="6" t="n">
        <f aca="false">IFERROR(DATEVALUE(B555),"")</f>
        <v>45822</v>
      </c>
      <c r="K555" s="4" t="str">
        <f aca="false">IF(A555="","",PROPER(TRIM(C555)))</f>
        <v>West</v>
      </c>
      <c r="L555" s="4" t="str">
        <f aca="false">IF(A555="","",PROPER(TRIM(D555)))</f>
        <v>Camping Gear</v>
      </c>
      <c r="M555" s="4" t="n">
        <f aca="false">IFERROR(VALUE(F555),0)</f>
        <v>2</v>
      </c>
      <c r="N555" s="7" t="n">
        <f aca="false">IFERROR(VALUE(SUBSTITUTE(G555,"$","")),0)</f>
        <v>221.31</v>
      </c>
      <c r="O555" s="4" t="n">
        <f aca="false">IF(A555="",0,IF(COUNTIF($A$2:A555,A555)&gt;1,1,0))</f>
        <v>0</v>
      </c>
      <c r="P555" s="4" t="n">
        <f aca="false">IF(AND(A555&lt;&gt;"",J555&lt;&gt;"",M555&gt;0,N555&gt;0,O555=0),1,0)</f>
        <v>1</v>
      </c>
      <c r="Q555" s="7" t="n">
        <f aca="false">IF(P555=1,M555*N555,0)</f>
        <v>442.62</v>
      </c>
    </row>
    <row r="556" customFormat="false" ht="15" hidden="false" customHeight="false" outlineLevel="0" collapsed="false">
      <c r="A556" s="4" t="n">
        <v>10333</v>
      </c>
      <c r="B556" s="4" t="s">
        <v>1380</v>
      </c>
      <c r="C556" s="4" t="s">
        <v>50</v>
      </c>
      <c r="D556" s="4" t="s">
        <v>217</v>
      </c>
      <c r="E556" s="4" t="s">
        <v>142</v>
      </c>
      <c r="F556" s="4" t="n">
        <v>4</v>
      </c>
      <c r="G556" s="4" t="s">
        <v>1381</v>
      </c>
      <c r="H556" s="4" t="s">
        <v>47</v>
      </c>
      <c r="I556" s="4" t="s">
        <v>1382</v>
      </c>
      <c r="J556" s="6" t="n">
        <f aca="false">IFERROR(DATEVALUE(B556),"")</f>
        <v>45407</v>
      </c>
      <c r="K556" s="4" t="str">
        <f aca="false">IF(A556="","",PROPER(TRIM(C556)))</f>
        <v>Midwest</v>
      </c>
      <c r="L556" s="4" t="str">
        <f aca="false">IF(A556="","",PROPER(TRIM(D556)))</f>
        <v>Apparel</v>
      </c>
      <c r="M556" s="4" t="n">
        <f aca="false">IFERROR(VALUE(F556),0)</f>
        <v>4</v>
      </c>
      <c r="N556" s="7" t="n">
        <f aca="false">IFERROR(VALUE(SUBSTITUTE(G556,"$","")),0)</f>
        <v>202.95</v>
      </c>
      <c r="O556" s="4" t="n">
        <f aca="false">IF(A556="",0,IF(COUNTIF($A$2:A556,A556)&gt;1,1,0))</f>
        <v>0</v>
      </c>
      <c r="P556" s="4" t="n">
        <f aca="false">IF(AND(A556&lt;&gt;"",J556&lt;&gt;"",M556&gt;0,N556&gt;0,O556=0),1,0)</f>
        <v>1</v>
      </c>
      <c r="Q556" s="7" t="n">
        <f aca="false">IF(P556=1,M556*N556,0)</f>
        <v>811.8</v>
      </c>
    </row>
    <row r="557" customFormat="false" ht="15" hidden="false" customHeight="false" outlineLevel="0" collapsed="false">
      <c r="A557" s="4" t="n">
        <v>10708</v>
      </c>
      <c r="B557" s="4" t="s">
        <v>834</v>
      </c>
      <c r="C557" s="4" t="s">
        <v>155</v>
      </c>
      <c r="D557" s="4" t="s">
        <v>51</v>
      </c>
      <c r="E557" s="4" t="s">
        <v>52</v>
      </c>
      <c r="F557" s="4" t="n">
        <v>3</v>
      </c>
      <c r="G557" s="4" t="s">
        <v>835</v>
      </c>
      <c r="H557" s="4" t="s">
        <v>54</v>
      </c>
      <c r="I557" s="4" t="s">
        <v>647</v>
      </c>
      <c r="J557" s="6" t="n">
        <f aca="false">IFERROR(DATEVALUE(B557),"")</f>
        <v>45354</v>
      </c>
      <c r="K557" s="4" t="str">
        <f aca="false">IF(A557="","",PROPER(TRIM(C557)))</f>
        <v>South</v>
      </c>
      <c r="L557" s="4" t="str">
        <f aca="false">IF(A557="","",PROPER(TRIM(D557)))</f>
        <v>Accessories</v>
      </c>
      <c r="M557" s="4" t="n">
        <f aca="false">IFERROR(VALUE(F557),0)</f>
        <v>3</v>
      </c>
      <c r="N557" s="7" t="n">
        <f aca="false">IFERROR(VALUE(SUBSTITUTE(G557,"$","")),0)</f>
        <v>82.67</v>
      </c>
      <c r="O557" s="4" t="n">
        <f aca="false">IF(A557="",0,IF(COUNTIF($A$2:A557,A557)&gt;1,1,0))</f>
        <v>1</v>
      </c>
      <c r="P557" s="4" t="n">
        <f aca="false">IF(AND(A557&lt;&gt;"",J557&lt;&gt;"",M557&gt;0,N557&gt;0,O557=0),1,0)</f>
        <v>0</v>
      </c>
      <c r="Q557" s="7" t="n">
        <f aca="false">IF(P557=1,M557*N557,0)</f>
        <v>0</v>
      </c>
    </row>
    <row r="558" customFormat="false" ht="15" hidden="false" customHeight="false" outlineLevel="0" collapsed="false">
      <c r="A558" s="4" t="n">
        <v>10545</v>
      </c>
      <c r="B558" s="4" t="s">
        <v>257</v>
      </c>
      <c r="C558" s="4" t="s">
        <v>187</v>
      </c>
      <c r="D558" s="4" t="s">
        <v>225</v>
      </c>
      <c r="E558" s="4" t="s">
        <v>160</v>
      </c>
      <c r="F558" s="4" t="n">
        <v>1</v>
      </c>
      <c r="G558" s="4" t="s">
        <v>1383</v>
      </c>
      <c r="H558" s="4" t="s">
        <v>73</v>
      </c>
      <c r="I558" s="4" t="s">
        <v>301</v>
      </c>
      <c r="J558" s="6" t="n">
        <f aca="false">IFERROR(DATEVALUE(B558),"")</f>
        <v>45597</v>
      </c>
      <c r="K558" s="4" t="str">
        <f aca="false">IF(A558="","",PROPER(TRIM(C558)))</f>
        <v>East</v>
      </c>
      <c r="L558" s="4" t="str">
        <f aca="false">IF(A558="","",PROPER(TRIM(D558)))</f>
        <v>Accessories</v>
      </c>
      <c r="M558" s="4" t="n">
        <f aca="false">IFERROR(VALUE(F558),0)</f>
        <v>1</v>
      </c>
      <c r="N558" s="7" t="n">
        <f aca="false">IFERROR(VALUE(SUBSTITUTE(G558,"$","")),0)</f>
        <v>24.14</v>
      </c>
      <c r="O558" s="4" t="n">
        <f aca="false">IF(A558="",0,IF(COUNTIF($A$2:A558,A558)&gt;1,1,0))</f>
        <v>0</v>
      </c>
      <c r="P558" s="4" t="n">
        <f aca="false">IF(AND(A558&lt;&gt;"",J558&lt;&gt;"",M558&gt;0,N558&gt;0,O558=0),1,0)</f>
        <v>1</v>
      </c>
      <c r="Q558" s="7" t="n">
        <f aca="false">IF(P558=1,M558*N558,0)</f>
        <v>24.14</v>
      </c>
    </row>
    <row r="559" customFormat="false" ht="15" hidden="false" customHeight="false" outlineLevel="0" collapsed="false">
      <c r="A559" s="4" t="n">
        <v>10289</v>
      </c>
      <c r="B559" s="4" t="s">
        <v>1033</v>
      </c>
      <c r="C559" s="4" t="s">
        <v>50</v>
      </c>
      <c r="D559" s="4" t="s">
        <v>179</v>
      </c>
      <c r="E559" s="4" t="s">
        <v>94</v>
      </c>
      <c r="F559" s="4" t="n">
        <v>1</v>
      </c>
      <c r="G559" s="4" t="s">
        <v>1384</v>
      </c>
      <c r="H559" s="4" t="s">
        <v>73</v>
      </c>
      <c r="I559" s="4" t="s">
        <v>1199</v>
      </c>
      <c r="J559" s="6" t="n">
        <f aca="false">IFERROR(DATEVALUE(B559),"")</f>
        <v>45553</v>
      </c>
      <c r="K559" s="4" t="str">
        <f aca="false">IF(A559="","",PROPER(TRIM(C559)))</f>
        <v>Midwest</v>
      </c>
      <c r="L559" s="4" t="str">
        <f aca="false">IF(A559="","",PROPER(TRIM(D559)))</f>
        <v>Climbing Gear</v>
      </c>
      <c r="M559" s="4" t="n">
        <f aca="false">IFERROR(VALUE(F559),0)</f>
        <v>1</v>
      </c>
      <c r="N559" s="7" t="n">
        <f aca="false">IFERROR(VALUE(SUBSTITUTE(G559,"$","")),0)</f>
        <v>179.98</v>
      </c>
      <c r="O559" s="4" t="n">
        <f aca="false">IF(A559="",0,IF(COUNTIF($A$2:A559,A559)&gt;1,1,0))</f>
        <v>0</v>
      </c>
      <c r="P559" s="4" t="n">
        <f aca="false">IF(AND(A559&lt;&gt;"",J559&lt;&gt;"",M559&gt;0,N559&gt;0,O559=0),1,0)</f>
        <v>1</v>
      </c>
      <c r="Q559" s="7" t="n">
        <f aca="false">IF(P559=1,M559*N559,0)</f>
        <v>179.98</v>
      </c>
    </row>
    <row r="560" customFormat="false" ht="15" hidden="false" customHeight="false" outlineLevel="0" collapsed="false">
      <c r="A560" s="4" t="n">
        <v>10585</v>
      </c>
      <c r="B560" s="4" t="s">
        <v>1385</v>
      </c>
      <c r="C560" s="4" t="s">
        <v>155</v>
      </c>
      <c r="D560" s="4" t="s">
        <v>141</v>
      </c>
      <c r="E560" s="4" t="s">
        <v>243</v>
      </c>
      <c r="F560" s="4" t="n">
        <v>3</v>
      </c>
      <c r="G560" s="4" t="s">
        <v>1386</v>
      </c>
      <c r="H560" s="4" t="s">
        <v>54</v>
      </c>
      <c r="I560" s="4" t="s">
        <v>854</v>
      </c>
      <c r="J560" s="6" t="n">
        <f aca="false">IFERROR(DATEVALUE(B560),"")</f>
        <v>45406</v>
      </c>
      <c r="K560" s="4" t="str">
        <f aca="false">IF(A560="","",PROPER(TRIM(C560)))</f>
        <v>South</v>
      </c>
      <c r="L560" s="4" t="str">
        <f aca="false">IF(A560="","",PROPER(TRIM(D560)))</f>
        <v>Apparel</v>
      </c>
      <c r="M560" s="4" t="n">
        <f aca="false">IFERROR(VALUE(F560),0)</f>
        <v>3</v>
      </c>
      <c r="N560" s="7" t="n">
        <f aca="false">IFERROR(VALUE(SUBSTITUTE(G560,"$","")),0)</f>
        <v>75.81</v>
      </c>
      <c r="O560" s="4" t="n">
        <f aca="false">IF(A560="",0,IF(COUNTIF($A$2:A560,A560)&gt;1,1,0))</f>
        <v>0</v>
      </c>
      <c r="P560" s="4" t="n">
        <f aca="false">IF(AND(A560&lt;&gt;"",J560&lt;&gt;"",M560&gt;0,N560&gt;0,O560=0),1,0)</f>
        <v>1</v>
      </c>
      <c r="Q560" s="7" t="n">
        <f aca="false">IF(P560=1,M560*N560,0)</f>
        <v>227.43</v>
      </c>
    </row>
    <row r="561" customFormat="false" ht="15" hidden="false" customHeight="false" outlineLevel="0" collapsed="false">
      <c r="A561" s="4" t="n">
        <v>10122</v>
      </c>
      <c r="B561" s="4" t="s">
        <v>1016</v>
      </c>
      <c r="C561" s="4" t="s">
        <v>110</v>
      </c>
      <c r="D561" s="4" t="s">
        <v>164</v>
      </c>
      <c r="E561" s="4" t="s">
        <v>116</v>
      </c>
      <c r="F561" s="4" t="n">
        <v>2</v>
      </c>
      <c r="G561" s="4" t="s">
        <v>1387</v>
      </c>
      <c r="H561" s="4" t="s">
        <v>73</v>
      </c>
      <c r="I561" s="4" t="s">
        <v>792</v>
      </c>
      <c r="J561" s="6" t="n">
        <f aca="false">IFERROR(DATEVALUE(B561),"")</f>
        <v>45557</v>
      </c>
      <c r="K561" s="4" t="str">
        <f aca="false">IF(A561="","",PROPER(TRIM(C561)))</f>
        <v>Midwest</v>
      </c>
      <c r="L561" s="4" t="str">
        <f aca="false">IF(A561="","",PROPER(TRIM(D561)))</f>
        <v>Apparel</v>
      </c>
      <c r="M561" s="4" t="n">
        <f aca="false">IFERROR(VALUE(F561),0)</f>
        <v>2</v>
      </c>
      <c r="N561" s="7" t="n">
        <f aca="false">IFERROR(VALUE(SUBSTITUTE(G561,"$","")),0)</f>
        <v>73.13</v>
      </c>
      <c r="O561" s="4" t="n">
        <f aca="false">IF(A561="",0,IF(COUNTIF($A$2:A561,A561)&gt;1,1,0))</f>
        <v>0</v>
      </c>
      <c r="P561" s="4" t="n">
        <f aca="false">IF(AND(A561&lt;&gt;"",J561&lt;&gt;"",M561&gt;0,N561&gt;0,O561=0),1,0)</f>
        <v>1</v>
      </c>
      <c r="Q561" s="7" t="n">
        <f aca="false">IF(P561=1,M561*N561,0)</f>
        <v>146.26</v>
      </c>
    </row>
    <row r="562" customFormat="false" ht="15" hidden="false" customHeight="false" outlineLevel="0" collapsed="false">
      <c r="A562" s="4" t="n">
        <v>10121</v>
      </c>
      <c r="B562" s="4" t="s">
        <v>1388</v>
      </c>
      <c r="C562" s="4" t="s">
        <v>155</v>
      </c>
      <c r="D562" s="4" t="s">
        <v>230</v>
      </c>
      <c r="E562" s="4" t="s">
        <v>243</v>
      </c>
      <c r="F562" s="4" t="n">
        <v>1</v>
      </c>
      <c r="G562" s="4" t="s">
        <v>1389</v>
      </c>
      <c r="H562" s="4" t="s">
        <v>54</v>
      </c>
      <c r="I562" s="4" t="s">
        <v>1390</v>
      </c>
      <c r="J562" s="6" t="n">
        <f aca="false">IFERROR(DATEVALUE(B562),"")</f>
        <v>45696</v>
      </c>
      <c r="K562" s="4" t="str">
        <f aca="false">IF(A562="","",PROPER(TRIM(C562)))</f>
        <v>South</v>
      </c>
      <c r="L562" s="4" t="str">
        <f aca="false">IF(A562="","",PROPER(TRIM(D562)))</f>
        <v>Apparel</v>
      </c>
      <c r="M562" s="4" t="n">
        <f aca="false">IFERROR(VALUE(F562),0)</f>
        <v>1</v>
      </c>
      <c r="N562" s="7" t="n">
        <f aca="false">IFERROR(VALUE(SUBSTITUTE(G562,"$","")),0)</f>
        <v>78.87</v>
      </c>
      <c r="O562" s="4" t="n">
        <f aca="false">IF(A562="",0,IF(COUNTIF($A$2:A562,A562)&gt;1,1,0))</f>
        <v>0</v>
      </c>
      <c r="P562" s="4" t="n">
        <f aca="false">IF(AND(A562&lt;&gt;"",J562&lt;&gt;"",M562&gt;0,N562&gt;0,O562=0),1,0)</f>
        <v>1</v>
      </c>
      <c r="Q562" s="7" t="n">
        <f aca="false">IF(P562=1,M562*N562,0)</f>
        <v>78.87</v>
      </c>
    </row>
    <row r="563" customFormat="false" ht="15" hidden="false" customHeight="false" outlineLevel="0" collapsed="false">
      <c r="A563" s="4" t="n">
        <v>10145</v>
      </c>
      <c r="B563" s="4" t="s">
        <v>1391</v>
      </c>
      <c r="C563" s="4" t="s">
        <v>178</v>
      </c>
      <c r="D563" s="4" t="s">
        <v>76</v>
      </c>
      <c r="E563" s="4" t="s">
        <v>65</v>
      </c>
      <c r="F563" s="4" t="n">
        <v>2</v>
      </c>
      <c r="G563" s="4" t="s">
        <v>1392</v>
      </c>
      <c r="H563" s="4" t="s">
        <v>47</v>
      </c>
      <c r="I563" s="4" t="s">
        <v>984</v>
      </c>
      <c r="J563" s="6" t="n">
        <f aca="false">IFERROR(DATEVALUE(B563),"")</f>
        <v>45518</v>
      </c>
      <c r="K563" s="4" t="str">
        <f aca="false">IF(A563="","",PROPER(TRIM(C563)))</f>
        <v>South</v>
      </c>
      <c r="L563" s="4" t="str">
        <f aca="false">IF(A563="","",PROPER(TRIM(D563)))</f>
        <v>Footwear</v>
      </c>
      <c r="M563" s="4" t="n">
        <f aca="false">IFERROR(VALUE(F563),0)</f>
        <v>2</v>
      </c>
      <c r="N563" s="7" t="n">
        <f aca="false">IFERROR(VALUE(SUBSTITUTE(G563,"$","")),0)</f>
        <v>61.04</v>
      </c>
      <c r="O563" s="4" t="n">
        <f aca="false">IF(A563="",0,IF(COUNTIF($A$2:A563,A563)&gt;1,1,0))</f>
        <v>0</v>
      </c>
      <c r="P563" s="4" t="n">
        <f aca="false">IF(AND(A563&lt;&gt;"",J563&lt;&gt;"",M563&gt;0,N563&gt;0,O563=0),1,0)</f>
        <v>1</v>
      </c>
      <c r="Q563" s="7" t="n">
        <f aca="false">IF(P563=1,M563*N563,0)</f>
        <v>122.08</v>
      </c>
    </row>
    <row r="564" customFormat="false" ht="15" hidden="false" customHeight="false" outlineLevel="0" collapsed="false">
      <c r="A564" s="4" t="n">
        <v>10109</v>
      </c>
      <c r="B564" s="4" t="s">
        <v>1393</v>
      </c>
      <c r="C564" s="4" t="s">
        <v>435</v>
      </c>
      <c r="D564" s="4" t="s">
        <v>250</v>
      </c>
      <c r="E564" s="4" t="s">
        <v>203</v>
      </c>
      <c r="F564" s="4" t="n">
        <v>3</v>
      </c>
      <c r="G564" s="4" t="s">
        <v>1394</v>
      </c>
      <c r="H564" s="4" t="s">
        <v>73</v>
      </c>
      <c r="I564" s="4" t="s">
        <v>702</v>
      </c>
      <c r="J564" s="6" t="n">
        <f aca="false">IFERROR(DATEVALUE(B564),"")</f>
        <v>45666</v>
      </c>
      <c r="K564" s="4" t="str">
        <f aca="false">IF(A564="","",PROPER(TRIM(C564)))</f>
        <v>Midwest</v>
      </c>
      <c r="L564" s="4" t="str">
        <f aca="false">IF(A564="","",PROPER(TRIM(D564)))</f>
        <v>Camping Gear</v>
      </c>
      <c r="M564" s="4" t="n">
        <f aca="false">IFERROR(VALUE(F564),0)</f>
        <v>3</v>
      </c>
      <c r="N564" s="7" t="n">
        <f aca="false">IFERROR(VALUE(SUBSTITUTE(G564,"$","")),0)</f>
        <v>245.38</v>
      </c>
      <c r="O564" s="4" t="n">
        <f aca="false">IF(A564="",0,IF(COUNTIF($A$2:A564,A564)&gt;1,1,0))</f>
        <v>0</v>
      </c>
      <c r="P564" s="4" t="n">
        <f aca="false">IF(AND(A564&lt;&gt;"",J564&lt;&gt;"",M564&gt;0,N564&gt;0,O564=0),1,0)</f>
        <v>1</v>
      </c>
      <c r="Q564" s="7" t="n">
        <f aca="false">IF(P564=1,M564*N564,0)</f>
        <v>736.14</v>
      </c>
    </row>
    <row r="565" customFormat="false" ht="15" hidden="false" customHeight="false" outlineLevel="0" collapsed="false">
      <c r="A565" s="4" t="n">
        <v>10665</v>
      </c>
      <c r="B565" s="4" t="s">
        <v>280</v>
      </c>
      <c r="C565" s="4" t="s">
        <v>57</v>
      </c>
      <c r="D565" s="4" t="s">
        <v>64</v>
      </c>
      <c r="E565" s="4" t="s">
        <v>111</v>
      </c>
      <c r="F565" s="4" t="n">
        <v>4</v>
      </c>
      <c r="G565" s="4" t="s">
        <v>1395</v>
      </c>
      <c r="H565" s="4" t="s">
        <v>73</v>
      </c>
      <c r="I565" s="4" t="s">
        <v>446</v>
      </c>
      <c r="J565" s="6" t="str">
        <f aca="false">IFERROR(DATEVALUE(B565),"")</f>
        <v/>
      </c>
      <c r="K565" s="4" t="str">
        <f aca="false">IF(A565="","",PROPER(TRIM(C565)))</f>
        <v>West</v>
      </c>
      <c r="L565" s="4" t="str">
        <f aca="false">IF(A565="","",PROPER(TRIM(D565)))</f>
        <v>Footwear</v>
      </c>
      <c r="M565" s="4" t="n">
        <f aca="false">IFERROR(VALUE(F565),0)</f>
        <v>4</v>
      </c>
      <c r="N565" s="7" t="n">
        <f aca="false">IFERROR(VALUE(SUBSTITUTE(G565,"$","")),0)</f>
        <v>95</v>
      </c>
      <c r="O565" s="4" t="n">
        <f aca="false">IF(A565="",0,IF(COUNTIF($A$2:A565,A565)&gt;1,1,0))</f>
        <v>0</v>
      </c>
      <c r="P565" s="4" t="n">
        <f aca="false">IF(AND(A565&lt;&gt;"",J565&lt;&gt;"",M565&gt;0,N565&gt;0,O565=0),1,0)</f>
        <v>0</v>
      </c>
      <c r="Q565" s="7" t="n">
        <f aca="false">IF(P565=1,M565*N565,0)</f>
        <v>0</v>
      </c>
    </row>
    <row r="566" customFormat="false" ht="15" hidden="false" customHeight="false" outlineLevel="0" collapsed="false">
      <c r="A566" s="4" t="n">
        <v>10682</v>
      </c>
      <c r="B566" s="4" t="s">
        <v>874</v>
      </c>
      <c r="C566" s="4" t="s">
        <v>140</v>
      </c>
      <c r="D566" s="4" t="s">
        <v>58</v>
      </c>
      <c r="E566" s="4" t="s">
        <v>125</v>
      </c>
      <c r="F566" s="4" t="n">
        <v>1</v>
      </c>
      <c r="G566" s="4" t="s">
        <v>1396</v>
      </c>
      <c r="H566" s="4" t="s">
        <v>73</v>
      </c>
      <c r="I566" s="4" t="s">
        <v>685</v>
      </c>
      <c r="J566" s="6" t="n">
        <f aca="false">IFERROR(DATEVALUE(B566),"")</f>
        <v>45390</v>
      </c>
      <c r="K566" s="4" t="str">
        <f aca="false">IF(A566="","",PROPER(TRIM(C566)))</f>
        <v>South</v>
      </c>
      <c r="L566" s="4" t="str">
        <f aca="false">IF(A566="","",PROPER(TRIM(D566)))</f>
        <v>Climbing Gear</v>
      </c>
      <c r="M566" s="4" t="n">
        <f aca="false">IFERROR(VALUE(F566),0)</f>
        <v>1</v>
      </c>
      <c r="N566" s="7" t="n">
        <f aca="false">IFERROR(VALUE(SUBSTITUTE(G566,"$","")),0)</f>
        <v>98.05</v>
      </c>
      <c r="O566" s="4" t="n">
        <f aca="false">IF(A566="",0,IF(COUNTIF($A$2:A566,A566)&gt;1,1,0))</f>
        <v>0</v>
      </c>
      <c r="P566" s="4" t="n">
        <f aca="false">IF(AND(A566&lt;&gt;"",J566&lt;&gt;"",M566&gt;0,N566&gt;0,O566=0),1,0)</f>
        <v>1</v>
      </c>
      <c r="Q566" s="7" t="n">
        <f aca="false">IF(P566=1,M566*N566,0)</f>
        <v>98.05</v>
      </c>
    </row>
    <row r="567" customFormat="false" ht="15" hidden="false" customHeight="false" outlineLevel="0" collapsed="false">
      <c r="A567" s="4" t="n">
        <v>10727</v>
      </c>
      <c r="B567" s="4" t="s">
        <v>645</v>
      </c>
      <c r="C567" s="4" t="s">
        <v>183</v>
      </c>
      <c r="D567" s="4" t="s">
        <v>333</v>
      </c>
      <c r="E567" s="4" t="s">
        <v>45</v>
      </c>
      <c r="F567" s="4" t="n">
        <v>1</v>
      </c>
      <c r="G567" s="4" t="s">
        <v>1397</v>
      </c>
      <c r="H567" s="4" t="s">
        <v>73</v>
      </c>
      <c r="I567" s="4" t="s">
        <v>1398</v>
      </c>
      <c r="J567" s="6" t="n">
        <f aca="false">IFERROR(DATEVALUE(B567),"")</f>
        <v>45336</v>
      </c>
      <c r="K567" s="4" t="str">
        <f aca="false">IF(A567="","",PROPER(TRIM(C567)))</f>
        <v>West</v>
      </c>
      <c r="L567" s="4" t="str">
        <f aca="false">IF(A567="","",PROPER(TRIM(D567)))</f>
        <v>Accessories</v>
      </c>
      <c r="M567" s="4" t="n">
        <f aca="false">IFERROR(VALUE(F567),0)</f>
        <v>1</v>
      </c>
      <c r="N567" s="7" t="n">
        <f aca="false">IFERROR(VALUE(SUBSTITUTE(G567,"$","")),0)</f>
        <v>51.76</v>
      </c>
      <c r="O567" s="4" t="n">
        <f aca="false">IF(A567="",0,IF(COUNTIF($A$2:A567,A567)&gt;1,1,0))</f>
        <v>0</v>
      </c>
      <c r="P567" s="4" t="n">
        <f aca="false">IF(AND(A567&lt;&gt;"",J567&lt;&gt;"",M567&gt;0,N567&gt;0,O567=0),1,0)</f>
        <v>1</v>
      </c>
      <c r="Q567" s="7" t="n">
        <f aca="false">IF(P567=1,M567*N567,0)</f>
        <v>51.76</v>
      </c>
    </row>
    <row r="568" customFormat="false" ht="15" hidden="false" customHeight="false" outlineLevel="0" collapsed="false">
      <c r="A568" s="4" t="n">
        <v>10005</v>
      </c>
      <c r="B568" s="4" t="s">
        <v>1399</v>
      </c>
      <c r="C568" s="4" t="s">
        <v>93</v>
      </c>
      <c r="D568" s="4" t="s">
        <v>171</v>
      </c>
      <c r="E568" s="4" t="s">
        <v>448</v>
      </c>
      <c r="F568" s="4" t="n">
        <v>1</v>
      </c>
      <c r="G568" s="4" t="s">
        <v>1400</v>
      </c>
      <c r="H568" s="4" t="s">
        <v>54</v>
      </c>
      <c r="I568" s="4" t="s">
        <v>1001</v>
      </c>
      <c r="J568" s="6" t="n">
        <f aca="false">IFERROR(DATEVALUE(B568),"")</f>
        <v>45723</v>
      </c>
      <c r="K568" s="4" t="str">
        <f aca="false">IF(A568="","",PROPER(TRIM(C568)))</f>
        <v>West</v>
      </c>
      <c r="L568" s="4" t="str">
        <f aca="false">IF(A568="","",PROPER(TRIM(D568)))</f>
        <v>Camping Gear</v>
      </c>
      <c r="M568" s="4" t="n">
        <f aca="false">IFERROR(VALUE(F568),0)</f>
        <v>1</v>
      </c>
      <c r="N568" s="7" t="n">
        <f aca="false">IFERROR(VALUE(SUBSTITUTE(G568,"$","")),0)</f>
        <v>215.32</v>
      </c>
      <c r="O568" s="4" t="n">
        <f aca="false">IF(A568="",0,IF(COUNTIF($A$2:A568,A568)&gt;1,1,0))</f>
        <v>0</v>
      </c>
      <c r="P568" s="4" t="n">
        <f aca="false">IF(AND(A568&lt;&gt;"",J568&lt;&gt;"",M568&gt;0,N568&gt;0,O568=0),1,0)</f>
        <v>1</v>
      </c>
      <c r="Q568" s="7" t="n">
        <f aca="false">IF(P568=1,M568*N568,0)</f>
        <v>215.32</v>
      </c>
    </row>
    <row r="569" customFormat="false" ht="15" hidden="false" customHeight="false" outlineLevel="0" collapsed="false">
      <c r="A569" s="4" t="n">
        <v>10309</v>
      </c>
      <c r="B569" s="4" t="s">
        <v>1139</v>
      </c>
      <c r="C569" s="4" t="s">
        <v>110</v>
      </c>
      <c r="D569" s="4" t="s">
        <v>333</v>
      </c>
      <c r="E569" s="4" t="s">
        <v>210</v>
      </c>
      <c r="F569" s="4" t="n">
        <v>3</v>
      </c>
      <c r="G569" s="4" t="s">
        <v>1401</v>
      </c>
      <c r="H569" s="4" t="s">
        <v>47</v>
      </c>
      <c r="I569" s="4" t="s">
        <v>1402</v>
      </c>
      <c r="J569" s="6" t="n">
        <f aca="false">IFERROR(DATEVALUE(B569),"")</f>
        <v>45739</v>
      </c>
      <c r="K569" s="4" t="str">
        <f aca="false">IF(A569="","",PROPER(TRIM(C569)))</f>
        <v>Midwest</v>
      </c>
      <c r="L569" s="4" t="str">
        <f aca="false">IF(A569="","",PROPER(TRIM(D569)))</f>
        <v>Accessories</v>
      </c>
      <c r="M569" s="4" t="n">
        <f aca="false">IFERROR(VALUE(F569),0)</f>
        <v>3</v>
      </c>
      <c r="N569" s="7" t="n">
        <f aca="false">IFERROR(VALUE(SUBSTITUTE(G569,"$","")),0)</f>
        <v>34.51</v>
      </c>
      <c r="O569" s="4" t="n">
        <f aca="false">IF(A569="",0,IF(COUNTIF($A$2:A569,A569)&gt;1,1,0))</f>
        <v>0</v>
      </c>
      <c r="P569" s="4" t="n">
        <f aca="false">IF(AND(A569&lt;&gt;"",J569&lt;&gt;"",M569&gt;0,N569&gt;0,O569=0),1,0)</f>
        <v>1</v>
      </c>
      <c r="Q569" s="7" t="n">
        <f aca="false">IF(P569=1,M569*N569,0)</f>
        <v>103.53</v>
      </c>
    </row>
    <row r="570" customFormat="false" ht="15" hidden="false" customHeight="false" outlineLevel="0" collapsed="false">
      <c r="A570" s="4" t="n">
        <v>10453</v>
      </c>
      <c r="B570" s="4" t="s">
        <v>1403</v>
      </c>
      <c r="C570" s="4" t="s">
        <v>140</v>
      </c>
      <c r="D570" s="4" t="s">
        <v>51</v>
      </c>
      <c r="E570" s="4" t="s">
        <v>52</v>
      </c>
      <c r="F570" s="4" t="n">
        <v>1</v>
      </c>
      <c r="G570" s="4" t="s">
        <v>1404</v>
      </c>
      <c r="H570" s="4" t="s">
        <v>54</v>
      </c>
      <c r="I570" s="4" t="s">
        <v>1405</v>
      </c>
      <c r="J570" s="6" t="n">
        <f aca="false">IFERROR(DATEVALUE(B570),"")</f>
        <v>45650</v>
      </c>
      <c r="K570" s="4" t="str">
        <f aca="false">IF(A570="","",PROPER(TRIM(C570)))</f>
        <v>South</v>
      </c>
      <c r="L570" s="4" t="str">
        <f aca="false">IF(A570="","",PROPER(TRIM(D570)))</f>
        <v>Accessories</v>
      </c>
      <c r="M570" s="4" t="n">
        <f aca="false">IFERROR(VALUE(F570),0)</f>
        <v>1</v>
      </c>
      <c r="N570" s="7" t="n">
        <f aca="false">IFERROR(VALUE(SUBSTITUTE(G570,"$","")),0)</f>
        <v>82.84</v>
      </c>
      <c r="O570" s="4" t="n">
        <f aca="false">IF(A570="",0,IF(COUNTIF($A$2:A570,A570)&gt;1,1,0))</f>
        <v>0</v>
      </c>
      <c r="P570" s="4" t="n">
        <f aca="false">IF(AND(A570&lt;&gt;"",J570&lt;&gt;"",M570&gt;0,N570&gt;0,O570=0),1,0)</f>
        <v>1</v>
      </c>
      <c r="Q570" s="7" t="n">
        <f aca="false">IF(P570=1,M570*N570,0)</f>
        <v>82.84</v>
      </c>
    </row>
    <row r="571" customFormat="false" ht="15" hidden="false" customHeight="false" outlineLevel="0" collapsed="false">
      <c r="A571" s="4" t="n">
        <v>10451</v>
      </c>
      <c r="B571" s="4" t="s">
        <v>1406</v>
      </c>
      <c r="C571" s="4" t="s">
        <v>155</v>
      </c>
      <c r="D571" s="4" t="s">
        <v>70</v>
      </c>
      <c r="E571" s="4" t="s">
        <v>448</v>
      </c>
      <c r="F571" s="4" t="n">
        <v>4</v>
      </c>
      <c r="G571" s="4" t="s">
        <v>1407</v>
      </c>
      <c r="H571" s="4" t="s">
        <v>54</v>
      </c>
      <c r="I571" s="4" t="s">
        <v>1408</v>
      </c>
      <c r="J571" s="6" t="n">
        <f aca="false">IFERROR(DATEVALUE(B571),"")</f>
        <v>45455</v>
      </c>
      <c r="K571" s="4" t="str">
        <f aca="false">IF(A571="","",PROPER(TRIM(C571)))</f>
        <v>South</v>
      </c>
      <c r="L571" s="4" t="str">
        <f aca="false">IF(A571="","",PROPER(TRIM(D571)))</f>
        <v>Camping Gear</v>
      </c>
      <c r="M571" s="4" t="n">
        <f aca="false">IFERROR(VALUE(F571),0)</f>
        <v>4</v>
      </c>
      <c r="N571" s="7" t="n">
        <f aca="false">IFERROR(VALUE(SUBSTITUTE(G571,"$","")),0)</f>
        <v>193.21</v>
      </c>
      <c r="O571" s="4" t="n">
        <f aca="false">IF(A571="",0,IF(COUNTIF($A$2:A571,A571)&gt;1,1,0))</f>
        <v>0</v>
      </c>
      <c r="P571" s="4" t="n">
        <f aca="false">IF(AND(A571&lt;&gt;"",J571&lt;&gt;"",M571&gt;0,N571&gt;0,O571=0),1,0)</f>
        <v>1</v>
      </c>
      <c r="Q571" s="7" t="n">
        <f aca="false">IF(P571=1,M571*N571,0)</f>
        <v>772.84</v>
      </c>
    </row>
    <row r="572" customFormat="false" ht="15" hidden="false" customHeight="false" outlineLevel="0" collapsed="false">
      <c r="A572" s="4" t="n">
        <v>10624</v>
      </c>
      <c r="B572" s="4" t="s">
        <v>1409</v>
      </c>
      <c r="C572" s="4" t="s">
        <v>332</v>
      </c>
      <c r="D572" s="4" t="s">
        <v>106</v>
      </c>
      <c r="E572" s="4" t="s">
        <v>111</v>
      </c>
      <c r="F572" s="4" t="n">
        <v>1</v>
      </c>
      <c r="G572" s="4" t="s">
        <v>1410</v>
      </c>
      <c r="H572" s="4" t="s">
        <v>47</v>
      </c>
      <c r="I572" s="4" t="s">
        <v>586</v>
      </c>
      <c r="J572" s="6" t="n">
        <f aca="false">IFERROR(DATEVALUE(B572),"")</f>
        <v>45762</v>
      </c>
      <c r="K572" s="4" t="str">
        <f aca="false">IF(A572="","",PROPER(TRIM(C572)))</f>
        <v>West</v>
      </c>
      <c r="L572" s="4" t="str">
        <f aca="false">IF(A572="","",PROPER(TRIM(D572)))</f>
        <v>Footwear</v>
      </c>
      <c r="M572" s="4" t="n">
        <f aca="false">IFERROR(VALUE(F572),0)</f>
        <v>1</v>
      </c>
      <c r="N572" s="7" t="n">
        <f aca="false">IFERROR(VALUE(SUBSTITUTE(G572,"$","")),0)</f>
        <v>83.94</v>
      </c>
      <c r="O572" s="4" t="n">
        <f aca="false">IF(A572="",0,IF(COUNTIF($A$2:A572,A572)&gt;1,1,0))</f>
        <v>0</v>
      </c>
      <c r="P572" s="4" t="n">
        <f aca="false">IF(AND(A572&lt;&gt;"",J572&lt;&gt;"",M572&gt;0,N572&gt;0,O572=0),1,0)</f>
        <v>1</v>
      </c>
      <c r="Q572" s="7" t="n">
        <f aca="false">IF(P572=1,M572*N572,0)</f>
        <v>83.94</v>
      </c>
    </row>
    <row r="573" customFormat="false" ht="15" hidden="false" customHeight="false" outlineLevel="0" collapsed="false">
      <c r="A573" s="4" t="n">
        <v>10342</v>
      </c>
      <c r="B573" s="4" t="s">
        <v>1411</v>
      </c>
      <c r="C573" s="4" t="s">
        <v>332</v>
      </c>
      <c r="D573" s="4" t="s">
        <v>58</v>
      </c>
      <c r="E573" s="4" t="s">
        <v>188</v>
      </c>
      <c r="F573" s="4" t="n">
        <v>2</v>
      </c>
      <c r="G573" s="4" t="s">
        <v>1412</v>
      </c>
      <c r="H573" s="4" t="s">
        <v>73</v>
      </c>
      <c r="I573" s="4" t="s">
        <v>971</v>
      </c>
      <c r="J573" s="6" t="n">
        <f aca="false">IFERROR(DATEVALUE(B573),"")</f>
        <v>45825</v>
      </c>
      <c r="K573" s="4" t="str">
        <f aca="false">IF(A573="","",PROPER(TRIM(C573)))</f>
        <v>West</v>
      </c>
      <c r="L573" s="4" t="str">
        <f aca="false">IF(A573="","",PROPER(TRIM(D573)))</f>
        <v>Climbing Gear</v>
      </c>
      <c r="M573" s="4" t="n">
        <f aca="false">IFERROR(VALUE(F573),0)</f>
        <v>2</v>
      </c>
      <c r="N573" s="7" t="n">
        <f aca="false">IFERROR(VALUE(SUBSTITUTE(G573,"$","")),0)</f>
        <v>19.36</v>
      </c>
      <c r="O573" s="4" t="n">
        <f aca="false">IF(A573="",0,IF(COUNTIF($A$2:A573,A573)&gt;1,1,0))</f>
        <v>0</v>
      </c>
      <c r="P573" s="4" t="n">
        <f aca="false">IF(AND(A573&lt;&gt;"",J573&lt;&gt;"",M573&gt;0,N573&gt;0,O573=0),1,0)</f>
        <v>1</v>
      </c>
      <c r="Q573" s="7" t="n">
        <f aca="false">IF(P573=1,M573*N573,0)</f>
        <v>38.72</v>
      </c>
    </row>
    <row r="574" customFormat="false" ht="15" hidden="false" customHeight="false" outlineLevel="0" collapsed="false">
      <c r="A574" s="4" t="n">
        <v>10267</v>
      </c>
      <c r="B574" s="4" t="s">
        <v>1413</v>
      </c>
      <c r="C574" s="4" t="s">
        <v>541</v>
      </c>
      <c r="D574" s="4" t="s">
        <v>51</v>
      </c>
      <c r="E574" s="4" t="s">
        <v>45</v>
      </c>
      <c r="F574" s="4" t="n">
        <v>1</v>
      </c>
      <c r="G574" s="4" t="s">
        <v>1414</v>
      </c>
      <c r="H574" s="4" t="s">
        <v>54</v>
      </c>
      <c r="I574" s="4" t="s">
        <v>153</v>
      </c>
      <c r="J574" s="6" t="n">
        <f aca="false">IFERROR(DATEVALUE(B574),"")</f>
        <v>45469</v>
      </c>
      <c r="K574" s="4" t="str">
        <f aca="false">IF(A574="","",PROPER(TRIM(C574)))</f>
        <v>West</v>
      </c>
      <c r="L574" s="4" t="str">
        <f aca="false">IF(A574="","",PROPER(TRIM(D574)))</f>
        <v>Accessories</v>
      </c>
      <c r="M574" s="4" t="n">
        <f aca="false">IFERROR(VALUE(F574),0)</f>
        <v>1</v>
      </c>
      <c r="N574" s="7" t="n">
        <f aca="false">IFERROR(VALUE(SUBSTITUTE(G574,"$","")),0)</f>
        <v>47.78</v>
      </c>
      <c r="O574" s="4" t="n">
        <f aca="false">IF(A574="",0,IF(COUNTIF($A$2:A574,A574)&gt;1,1,0))</f>
        <v>0</v>
      </c>
      <c r="P574" s="4" t="n">
        <f aca="false">IF(AND(A574&lt;&gt;"",J574&lt;&gt;"",M574&gt;0,N574&gt;0,O574=0),1,0)</f>
        <v>1</v>
      </c>
      <c r="Q574" s="7" t="n">
        <f aca="false">IF(P574=1,M574*N574,0)</f>
        <v>47.78</v>
      </c>
    </row>
    <row r="575" customFormat="false" ht="15" hidden="false" customHeight="false" outlineLevel="0" collapsed="false">
      <c r="A575" s="4" t="n">
        <v>10641</v>
      </c>
      <c r="B575" s="4" t="s">
        <v>1415</v>
      </c>
      <c r="C575" s="4" t="s">
        <v>105</v>
      </c>
      <c r="D575" s="4" t="s">
        <v>115</v>
      </c>
      <c r="E575" s="4" t="s">
        <v>116</v>
      </c>
      <c r="F575" s="4" t="n">
        <v>1</v>
      </c>
      <c r="G575" s="4" t="s">
        <v>1416</v>
      </c>
      <c r="H575" s="4" t="s">
        <v>47</v>
      </c>
      <c r="I575" s="4" t="s">
        <v>330</v>
      </c>
      <c r="J575" s="6" t="n">
        <f aca="false">IFERROR(DATEVALUE(B575),"")</f>
        <v>45801</v>
      </c>
      <c r="K575" s="4" t="str">
        <f aca="false">IF(A575="","",PROPER(TRIM(C575)))</f>
        <v>Midwest</v>
      </c>
      <c r="L575" s="4" t="str">
        <f aca="false">IF(A575="","",PROPER(TRIM(D575)))</f>
        <v>Apparel</v>
      </c>
      <c r="M575" s="4" t="n">
        <f aca="false">IFERROR(VALUE(F575),0)</f>
        <v>1</v>
      </c>
      <c r="N575" s="7" t="n">
        <f aca="false">IFERROR(VALUE(SUBSTITUTE(G575,"$","")),0)</f>
        <v>73.27</v>
      </c>
      <c r="O575" s="4" t="n">
        <f aca="false">IF(A575="",0,IF(COUNTIF($A$2:A575,A575)&gt;1,1,0))</f>
        <v>0</v>
      </c>
      <c r="P575" s="4" t="n">
        <f aca="false">IF(AND(A575&lt;&gt;"",J575&lt;&gt;"",M575&gt;0,N575&gt;0,O575=0),1,0)</f>
        <v>1</v>
      </c>
      <c r="Q575" s="7" t="n">
        <f aca="false">IF(P575=1,M575*N575,0)</f>
        <v>73.27</v>
      </c>
    </row>
    <row r="576" customFormat="false" ht="15" hidden="false" customHeight="false" outlineLevel="0" collapsed="false">
      <c r="A576" s="4" t="n">
        <v>10657</v>
      </c>
      <c r="B576" s="4" t="s">
        <v>1417</v>
      </c>
      <c r="C576" s="4" t="s">
        <v>105</v>
      </c>
      <c r="D576" s="4" t="s">
        <v>171</v>
      </c>
      <c r="E576" s="4" t="s">
        <v>203</v>
      </c>
      <c r="F576" s="4" t="n">
        <v>1</v>
      </c>
      <c r="G576" s="4" t="s">
        <v>1418</v>
      </c>
      <c r="H576" s="4" t="s">
        <v>73</v>
      </c>
      <c r="I576" s="4" t="s">
        <v>1199</v>
      </c>
      <c r="J576" s="6" t="n">
        <f aca="false">IFERROR(DATEVALUE(B576),"")</f>
        <v>45401</v>
      </c>
      <c r="K576" s="4" t="str">
        <f aca="false">IF(A576="","",PROPER(TRIM(C576)))</f>
        <v>Midwest</v>
      </c>
      <c r="L576" s="4" t="str">
        <f aca="false">IF(A576="","",PROPER(TRIM(D576)))</f>
        <v>Camping Gear</v>
      </c>
      <c r="M576" s="4" t="n">
        <f aca="false">IFERROR(VALUE(F576),0)</f>
        <v>1</v>
      </c>
      <c r="N576" s="7" t="n">
        <f aca="false">IFERROR(VALUE(SUBSTITUTE(G576,"$","")),0)</f>
        <v>200.04</v>
      </c>
      <c r="O576" s="4" t="n">
        <f aca="false">IF(A576="",0,IF(COUNTIF($A$2:A576,A576)&gt;1,1,0))</f>
        <v>0</v>
      </c>
      <c r="P576" s="4" t="n">
        <f aca="false">IF(AND(A576&lt;&gt;"",J576&lt;&gt;"",M576&gt;0,N576&gt;0,O576=0),1,0)</f>
        <v>1</v>
      </c>
      <c r="Q576" s="7" t="n">
        <f aca="false">IF(P576=1,M576*N576,0)</f>
        <v>200.04</v>
      </c>
    </row>
    <row r="577" customFormat="false" ht="15" hidden="false" customHeight="false" outlineLevel="0" collapsed="false">
      <c r="A577" s="4" t="n">
        <v>10509</v>
      </c>
      <c r="B577" s="4" t="s">
        <v>1419</v>
      </c>
      <c r="C577" s="4" t="s">
        <v>155</v>
      </c>
      <c r="D577" s="4" t="s">
        <v>70</v>
      </c>
      <c r="E577" s="4" t="s">
        <v>203</v>
      </c>
      <c r="F577" s="4" t="n">
        <v>-2</v>
      </c>
      <c r="G577" s="4" t="s">
        <v>1420</v>
      </c>
      <c r="H577" s="4" t="s">
        <v>47</v>
      </c>
      <c r="I577" s="4" t="s">
        <v>1421</v>
      </c>
      <c r="J577" s="6" t="n">
        <f aca="false">IFERROR(DATEVALUE(B577),"")</f>
        <v>45412</v>
      </c>
      <c r="K577" s="4" t="str">
        <f aca="false">IF(A577="","",PROPER(TRIM(C577)))</f>
        <v>South</v>
      </c>
      <c r="L577" s="4" t="str">
        <f aca="false">IF(A577="","",PROPER(TRIM(D577)))</f>
        <v>Camping Gear</v>
      </c>
      <c r="M577" s="4" t="n">
        <f aca="false">IFERROR(VALUE(F577),0)</f>
        <v>-2</v>
      </c>
      <c r="N577" s="7" t="n">
        <f aca="false">IFERROR(VALUE(SUBSTITUTE(G577,"$","")),0)</f>
        <v>201.9</v>
      </c>
      <c r="O577" s="4" t="n">
        <f aca="false">IF(A577="",0,IF(COUNTIF($A$2:A577,A577)&gt;1,1,0))</f>
        <v>0</v>
      </c>
      <c r="P577" s="4" t="n">
        <f aca="false">IF(AND(A577&lt;&gt;"",J577&lt;&gt;"",M577&gt;0,N577&gt;0,O577=0),1,0)</f>
        <v>0</v>
      </c>
      <c r="Q577" s="7" t="n">
        <f aca="false">IF(P577=1,M577*N577,0)</f>
        <v>0</v>
      </c>
    </row>
    <row r="578" customFormat="false" ht="15" hidden="false" customHeight="false" outlineLevel="0" collapsed="false">
      <c r="A578" s="4" t="n">
        <v>10675</v>
      </c>
      <c r="B578" s="4" t="s">
        <v>1422</v>
      </c>
      <c r="C578" s="4" t="s">
        <v>149</v>
      </c>
      <c r="D578" s="4" t="s">
        <v>64</v>
      </c>
      <c r="E578" s="4" t="s">
        <v>77</v>
      </c>
      <c r="F578" s="4" t="n">
        <v>2</v>
      </c>
      <c r="G578" s="4" t="s">
        <v>1423</v>
      </c>
      <c r="H578" s="4" t="s">
        <v>73</v>
      </c>
      <c r="I578" s="4" t="s">
        <v>55</v>
      </c>
      <c r="J578" s="6" t="n">
        <f aca="false">IFERROR(DATEVALUE(B578),"")</f>
        <v>45661</v>
      </c>
      <c r="K578" s="4" t="str">
        <f aca="false">IF(A578="","",PROPER(TRIM(C578)))</f>
        <v>East</v>
      </c>
      <c r="L578" s="4" t="str">
        <f aca="false">IF(A578="","",PROPER(TRIM(D578)))</f>
        <v>Footwear</v>
      </c>
      <c r="M578" s="4" t="n">
        <f aca="false">IFERROR(VALUE(F578),0)</f>
        <v>2</v>
      </c>
      <c r="N578" s="7" t="n">
        <f aca="false">IFERROR(VALUE(SUBSTITUTE(G578,"$","")),0)</f>
        <v>140.31</v>
      </c>
      <c r="O578" s="4" t="n">
        <f aca="false">IF(A578="",0,IF(COUNTIF($A$2:A578,A578)&gt;1,1,0))</f>
        <v>0</v>
      </c>
      <c r="P578" s="4" t="n">
        <f aca="false">IF(AND(A578&lt;&gt;"",J578&lt;&gt;"",M578&gt;0,N578&gt;0,O578=0),1,0)</f>
        <v>1</v>
      </c>
      <c r="Q578" s="7" t="n">
        <f aca="false">IF(P578=1,M578*N578,0)</f>
        <v>280.62</v>
      </c>
    </row>
    <row r="579" customFormat="false" ht="15" hidden="false" customHeight="false" outlineLevel="0" collapsed="false">
      <c r="A579" s="4" t="n">
        <v>10095</v>
      </c>
      <c r="B579" s="4" t="s">
        <v>1424</v>
      </c>
      <c r="C579" s="4" t="s">
        <v>149</v>
      </c>
      <c r="D579" s="4" t="s">
        <v>115</v>
      </c>
      <c r="E579" s="4" t="s">
        <v>243</v>
      </c>
      <c r="F579" s="4" t="n">
        <v>1</v>
      </c>
      <c r="G579" s="4" t="s">
        <v>1425</v>
      </c>
      <c r="H579" s="4" t="s">
        <v>54</v>
      </c>
      <c r="I579" s="4" t="s">
        <v>586</v>
      </c>
      <c r="J579" s="6" t="n">
        <f aca="false">IFERROR(DATEVALUE(B579),"")</f>
        <v>45396</v>
      </c>
      <c r="K579" s="4" t="str">
        <f aca="false">IF(A579="","",PROPER(TRIM(C579)))</f>
        <v>East</v>
      </c>
      <c r="L579" s="4" t="str">
        <f aca="false">IF(A579="","",PROPER(TRIM(D579)))</f>
        <v>Apparel</v>
      </c>
      <c r="M579" s="4" t="n">
        <f aca="false">IFERROR(VALUE(F579),0)</f>
        <v>1</v>
      </c>
      <c r="N579" s="7" t="n">
        <f aca="false">IFERROR(VALUE(SUBSTITUTE(G579,"$","")),0)</f>
        <v>85.77</v>
      </c>
      <c r="O579" s="4" t="n">
        <f aca="false">IF(A579="",0,IF(COUNTIF($A$2:A579,A579)&gt;1,1,0))</f>
        <v>0</v>
      </c>
      <c r="P579" s="4" t="n">
        <f aca="false">IF(AND(A579&lt;&gt;"",J579&lt;&gt;"",M579&gt;0,N579&gt;0,O579=0),1,0)</f>
        <v>1</v>
      </c>
      <c r="Q579" s="7" t="n">
        <f aca="false">IF(P579=1,M579*N579,0)</f>
        <v>85.77</v>
      </c>
    </row>
    <row r="581" customFormat="false" ht="15" hidden="false" customHeight="false" outlineLevel="0" collapsed="false">
      <c r="A581" s="4" t="n">
        <v>10218</v>
      </c>
      <c r="B581" s="4" t="s">
        <v>1426</v>
      </c>
      <c r="C581" s="4" t="s">
        <v>50</v>
      </c>
      <c r="D581" s="4" t="s">
        <v>51</v>
      </c>
      <c r="E581" s="4" t="s">
        <v>52</v>
      </c>
      <c r="F581" s="4" t="n">
        <v>4</v>
      </c>
      <c r="G581" s="4" t="s">
        <v>1427</v>
      </c>
      <c r="H581" s="4" t="s">
        <v>73</v>
      </c>
      <c r="I581" s="4" t="s">
        <v>389</v>
      </c>
      <c r="J581" s="6" t="n">
        <f aca="false">IFERROR(DATEVALUE(B581),"")</f>
        <v>45563</v>
      </c>
      <c r="K581" s="4" t="str">
        <f aca="false">IF(A581="","",PROPER(TRIM(C581)))</f>
        <v>Midwest</v>
      </c>
      <c r="L581" s="4" t="str">
        <f aca="false">IF(A581="","",PROPER(TRIM(D581)))</f>
        <v>Accessories</v>
      </c>
      <c r="M581" s="4" t="n">
        <f aca="false">IFERROR(VALUE(F581),0)</f>
        <v>4</v>
      </c>
      <c r="N581" s="7" t="n">
        <f aca="false">IFERROR(VALUE(SUBSTITUTE(G581,"$","")),0)</f>
        <v>96.12</v>
      </c>
      <c r="O581" s="4" t="n">
        <f aca="false">IF(A581="",0,IF(COUNTIF($A$2:A581,A581)&gt;1,1,0))</f>
        <v>0</v>
      </c>
      <c r="P581" s="4" t="n">
        <f aca="false">IF(AND(A581&lt;&gt;"",J581&lt;&gt;"",M581&gt;0,N581&gt;0,O581=0),1,0)</f>
        <v>1</v>
      </c>
      <c r="Q581" s="7" t="n">
        <f aca="false">IF(P581=1,M581*N581,0)</f>
        <v>384.48</v>
      </c>
    </row>
    <row r="582" customFormat="false" ht="15" hidden="false" customHeight="false" outlineLevel="0" collapsed="false">
      <c r="A582" s="4" t="n">
        <v>10178</v>
      </c>
      <c r="B582" s="4" t="s">
        <v>1428</v>
      </c>
      <c r="C582" s="4" t="s">
        <v>435</v>
      </c>
      <c r="D582" s="4" t="s">
        <v>70</v>
      </c>
      <c r="E582" s="4" t="s">
        <v>71</v>
      </c>
      <c r="F582" s="4" t="n">
        <v>1</v>
      </c>
      <c r="G582" s="4" t="s">
        <v>1429</v>
      </c>
      <c r="H582" s="4" t="s">
        <v>47</v>
      </c>
      <c r="I582" s="4" t="s">
        <v>1430</v>
      </c>
      <c r="J582" s="6" t="n">
        <f aca="false">IFERROR(DATEVALUE(B582),"")</f>
        <v>45656</v>
      </c>
      <c r="K582" s="4" t="str">
        <f aca="false">IF(A582="","",PROPER(TRIM(C582)))</f>
        <v>Midwest</v>
      </c>
      <c r="L582" s="4" t="str">
        <f aca="false">IF(A582="","",PROPER(TRIM(D582)))</f>
        <v>Camping Gear</v>
      </c>
      <c r="M582" s="4" t="n">
        <f aca="false">IFERROR(VALUE(F582),0)</f>
        <v>1</v>
      </c>
      <c r="N582" s="7" t="n">
        <f aca="false">IFERROR(VALUE(SUBSTITUTE(G582,"$","")),0)</f>
        <v>64.65</v>
      </c>
      <c r="O582" s="4" t="n">
        <f aca="false">IF(A582="",0,IF(COUNTIF($A$2:A582,A582)&gt;1,1,0))</f>
        <v>0</v>
      </c>
      <c r="P582" s="4" t="n">
        <f aca="false">IF(AND(A582&lt;&gt;"",J582&lt;&gt;"",M582&gt;0,N582&gt;0,O582=0),1,0)</f>
        <v>1</v>
      </c>
      <c r="Q582" s="7" t="n">
        <f aca="false">IF(P582=1,M582*N582,0)</f>
        <v>64.65</v>
      </c>
    </row>
    <row r="583" customFormat="false" ht="15" hidden="false" customHeight="false" outlineLevel="0" collapsed="false">
      <c r="A583" s="4" t="n">
        <v>10636</v>
      </c>
      <c r="B583" s="4" t="s">
        <v>625</v>
      </c>
      <c r="C583" s="4" t="s">
        <v>50</v>
      </c>
      <c r="D583" s="4" t="s">
        <v>101</v>
      </c>
      <c r="E583" s="4" t="s">
        <v>45</v>
      </c>
      <c r="F583" s="4" t="n">
        <v>1</v>
      </c>
      <c r="G583" s="4" t="s">
        <v>1431</v>
      </c>
      <c r="H583" s="4" t="s">
        <v>54</v>
      </c>
      <c r="I583" s="4" t="s">
        <v>1072</v>
      </c>
      <c r="J583" s="6" t="n">
        <f aca="false">IFERROR(DATEVALUE(B583),"")</f>
        <v>45812</v>
      </c>
      <c r="K583" s="4" t="str">
        <f aca="false">IF(A583="","",PROPER(TRIM(C583)))</f>
        <v>Midwest</v>
      </c>
      <c r="L583" s="4" t="str">
        <f aca="false">IF(A583="","",PROPER(TRIM(D583)))</f>
        <v>Accessories</v>
      </c>
      <c r="M583" s="4" t="n">
        <f aca="false">IFERROR(VALUE(F583),0)</f>
        <v>1</v>
      </c>
      <c r="N583" s="7" t="n">
        <f aca="false">IFERROR(VALUE(SUBSTITUTE(G583,"$","")),0)</f>
        <v>49.99</v>
      </c>
      <c r="O583" s="4" t="n">
        <f aca="false">IF(A583="",0,IF(COUNTIF($A$2:A583,A583)&gt;1,1,0))</f>
        <v>0</v>
      </c>
      <c r="P583" s="4" t="n">
        <f aca="false">IF(AND(A583&lt;&gt;"",J583&lt;&gt;"",M583&gt;0,N583&gt;0,O583=0),1,0)</f>
        <v>1</v>
      </c>
      <c r="Q583" s="7" t="n">
        <f aca="false">IF(P583=1,M583*N583,0)</f>
        <v>49.99</v>
      </c>
    </row>
    <row r="584" customFormat="false" ht="15" hidden="false" customHeight="false" outlineLevel="0" collapsed="false">
      <c r="A584" s="4" t="n">
        <v>10698</v>
      </c>
      <c r="B584" s="4" t="s">
        <v>1432</v>
      </c>
      <c r="C584" s="4" t="s">
        <v>69</v>
      </c>
      <c r="D584" s="4" t="s">
        <v>387</v>
      </c>
      <c r="E584" s="4" t="s">
        <v>448</v>
      </c>
      <c r="F584" s="4" t="n">
        <v>1</v>
      </c>
      <c r="G584" s="4" t="s">
        <v>1433</v>
      </c>
      <c r="H584" s="4" t="s">
        <v>54</v>
      </c>
      <c r="I584" s="4" t="s">
        <v>1146</v>
      </c>
      <c r="J584" s="6" t="n">
        <f aca="false">IFERROR(DATEVALUE(B584),"")</f>
        <v>45641</v>
      </c>
      <c r="K584" s="4" t="str">
        <f aca="false">IF(A584="","",PROPER(TRIM(C584)))</f>
        <v>East</v>
      </c>
      <c r="L584" s="4" t="str">
        <f aca="false">IF(A584="","",PROPER(TRIM(D584)))</f>
        <v>Camping Gear</v>
      </c>
      <c r="M584" s="4" t="n">
        <f aca="false">IFERROR(VALUE(F584),0)</f>
        <v>1</v>
      </c>
      <c r="N584" s="7" t="n">
        <f aca="false">IFERROR(VALUE(SUBSTITUTE(G584,"$","")),0)</f>
        <v>197.91</v>
      </c>
      <c r="O584" s="4" t="n">
        <f aca="false">IF(A584="",0,IF(COUNTIF($A$2:A584,A584)&gt;1,1,0))</f>
        <v>0</v>
      </c>
      <c r="P584" s="4" t="n">
        <f aca="false">IF(AND(A584&lt;&gt;"",J584&lt;&gt;"",M584&gt;0,N584&gt;0,O584=0),1,0)</f>
        <v>1</v>
      </c>
      <c r="Q584" s="7" t="n">
        <f aca="false">IF(P584=1,M584*N584,0)</f>
        <v>197.91</v>
      </c>
    </row>
    <row r="585" customFormat="false" ht="15" hidden="false" customHeight="false" outlineLevel="0" collapsed="false">
      <c r="A585" s="4" t="n">
        <v>10433</v>
      </c>
      <c r="B585" s="4" t="s">
        <v>206</v>
      </c>
      <c r="C585" s="4" t="s">
        <v>110</v>
      </c>
      <c r="D585" s="4" t="s">
        <v>575</v>
      </c>
      <c r="E585" s="4" t="s">
        <v>52</v>
      </c>
      <c r="F585" s="4" t="n">
        <v>4</v>
      </c>
      <c r="G585" s="4" t="s">
        <v>1434</v>
      </c>
      <c r="H585" s="4" t="s">
        <v>54</v>
      </c>
      <c r="I585" s="4" t="s">
        <v>323</v>
      </c>
      <c r="J585" s="6" t="str">
        <f aca="false">IFERROR(DATEVALUE(B585),"")</f>
        <v/>
      </c>
      <c r="K585" s="4" t="str">
        <f aca="false">IF(A585="","",PROPER(TRIM(C585)))</f>
        <v>Midwest</v>
      </c>
      <c r="L585" s="4" t="str">
        <f aca="false">IF(A585="","",PROPER(TRIM(D585)))</f>
        <v>Accessories</v>
      </c>
      <c r="M585" s="4" t="n">
        <f aca="false">IFERROR(VALUE(F585),0)</f>
        <v>4</v>
      </c>
      <c r="N585" s="7" t="n">
        <f aca="false">IFERROR(VALUE(SUBSTITUTE(G585,"$","")),0)</f>
        <v>89.73</v>
      </c>
      <c r="O585" s="4" t="n">
        <f aca="false">IF(A585="",0,IF(COUNTIF($A$2:A585,A585)&gt;1,1,0))</f>
        <v>0</v>
      </c>
      <c r="P585" s="4" t="n">
        <f aca="false">IF(AND(A585&lt;&gt;"",J585&lt;&gt;"",M585&gt;0,N585&gt;0,O585=0),1,0)</f>
        <v>0</v>
      </c>
      <c r="Q585" s="7" t="n">
        <f aca="false">IF(P585=1,M585*N585,0)</f>
        <v>0</v>
      </c>
    </row>
    <row r="586" customFormat="false" ht="15" hidden="false" customHeight="false" outlineLevel="0" collapsed="false">
      <c r="A586" s="4" t="n">
        <v>10696</v>
      </c>
      <c r="B586" s="4" t="s">
        <v>1435</v>
      </c>
      <c r="C586" s="4" t="s">
        <v>183</v>
      </c>
      <c r="D586" s="4" t="s">
        <v>58</v>
      </c>
      <c r="E586" s="4" t="s">
        <v>188</v>
      </c>
      <c r="F586" s="4" t="n">
        <v>1</v>
      </c>
      <c r="G586" s="4" t="s">
        <v>1436</v>
      </c>
      <c r="H586" s="4" t="s">
        <v>54</v>
      </c>
      <c r="I586" s="4" t="s">
        <v>1231</v>
      </c>
      <c r="J586" s="6" t="n">
        <f aca="false">IFERROR(DATEVALUE(B586),"")</f>
        <v>45397</v>
      </c>
      <c r="K586" s="4" t="str">
        <f aca="false">IF(A586="","",PROPER(TRIM(C586)))</f>
        <v>West</v>
      </c>
      <c r="L586" s="4" t="str">
        <f aca="false">IF(A586="","",PROPER(TRIM(D586)))</f>
        <v>Climbing Gear</v>
      </c>
      <c r="M586" s="4" t="n">
        <f aca="false">IFERROR(VALUE(F586),0)</f>
        <v>1</v>
      </c>
      <c r="N586" s="7" t="n">
        <f aca="false">IFERROR(VALUE(SUBSTITUTE(G586,"$","")),0)</f>
        <v>21.65</v>
      </c>
      <c r="O586" s="4" t="n">
        <f aca="false">IF(A586="",0,IF(COUNTIF($A$2:A586,A586)&gt;1,1,0))</f>
        <v>0</v>
      </c>
      <c r="P586" s="4" t="n">
        <f aca="false">IF(AND(A586&lt;&gt;"",J586&lt;&gt;"",M586&gt;0,N586&gt;0,O586=0),1,0)</f>
        <v>1</v>
      </c>
      <c r="Q586" s="7" t="n">
        <f aca="false">IF(P586=1,M586*N586,0)</f>
        <v>21.65</v>
      </c>
    </row>
    <row r="587" customFormat="false" ht="15" hidden="false" customHeight="false" outlineLevel="0" collapsed="false">
      <c r="A587" s="4" t="n">
        <v>10141</v>
      </c>
      <c r="B587" s="4" t="s">
        <v>136</v>
      </c>
      <c r="C587" s="4" t="s">
        <v>140</v>
      </c>
      <c r="D587" s="4" t="s">
        <v>387</v>
      </c>
      <c r="E587" s="4" t="s">
        <v>71</v>
      </c>
      <c r="F587" s="4" t="n">
        <v>3</v>
      </c>
      <c r="G587" s="4" t="s">
        <v>1437</v>
      </c>
      <c r="H587" s="4" t="s">
        <v>54</v>
      </c>
      <c r="I587" s="4" t="s">
        <v>1214</v>
      </c>
      <c r="J587" s="6" t="str">
        <f aca="false">IFERROR(DATEVALUE(B587),"")</f>
        <v/>
      </c>
      <c r="K587" s="4" t="str">
        <f aca="false">IF(A587="","",PROPER(TRIM(C587)))</f>
        <v>South</v>
      </c>
      <c r="L587" s="4" t="str">
        <f aca="false">IF(A587="","",PROPER(TRIM(D587)))</f>
        <v>Camping Gear</v>
      </c>
      <c r="M587" s="4" t="n">
        <f aca="false">IFERROR(VALUE(F587),0)</f>
        <v>3</v>
      </c>
      <c r="N587" s="7" t="n">
        <f aca="false">IFERROR(VALUE(SUBSTITUTE(G587,"$","")),0)</f>
        <v>65</v>
      </c>
      <c r="O587" s="4" t="n">
        <f aca="false">IF(A587="",0,IF(COUNTIF($A$2:A587,A587)&gt;1,1,0))</f>
        <v>0</v>
      </c>
      <c r="P587" s="4" t="n">
        <f aca="false">IF(AND(A587&lt;&gt;"",J587&lt;&gt;"",M587&gt;0,N587&gt;0,O587=0),1,0)</f>
        <v>0</v>
      </c>
      <c r="Q587" s="7" t="n">
        <f aca="false">IF(P587=1,M587*N587,0)</f>
        <v>0</v>
      </c>
    </row>
    <row r="588" customFormat="false" ht="15" hidden="false" customHeight="false" outlineLevel="0" collapsed="false">
      <c r="A588" s="4" t="n">
        <v>10022</v>
      </c>
      <c r="B588" s="4" t="s">
        <v>1438</v>
      </c>
      <c r="C588" s="4" t="s">
        <v>155</v>
      </c>
      <c r="D588" s="4" t="s">
        <v>51</v>
      </c>
      <c r="E588" s="4" t="s">
        <v>210</v>
      </c>
      <c r="F588" s="4" t="n">
        <v>1</v>
      </c>
      <c r="G588" s="4" t="s">
        <v>1439</v>
      </c>
      <c r="H588" s="4" t="s">
        <v>47</v>
      </c>
      <c r="I588" s="4" t="s">
        <v>138</v>
      </c>
      <c r="J588" s="6" t="n">
        <f aca="false">IFERROR(DATEVALUE(B588),"")</f>
        <v>45499</v>
      </c>
      <c r="K588" s="4" t="str">
        <f aca="false">IF(A588="","",PROPER(TRIM(C588)))</f>
        <v>South</v>
      </c>
      <c r="L588" s="4" t="str">
        <f aca="false">IF(A588="","",PROPER(TRIM(D588)))</f>
        <v>Accessories</v>
      </c>
      <c r="M588" s="4" t="n">
        <f aca="false">IFERROR(VALUE(F588),0)</f>
        <v>1</v>
      </c>
      <c r="N588" s="7" t="n">
        <f aca="false">IFERROR(VALUE(SUBSTITUTE(G588,"$","")),0)</f>
        <v>39.56</v>
      </c>
      <c r="O588" s="4" t="n">
        <f aca="false">IF(A588="",0,IF(COUNTIF($A$2:A588,A588)&gt;1,1,0))</f>
        <v>0</v>
      </c>
      <c r="P588" s="4" t="n">
        <f aca="false">IF(AND(A588&lt;&gt;"",J588&lt;&gt;"",M588&gt;0,N588&gt;0,O588=0),1,0)</f>
        <v>1</v>
      </c>
      <c r="Q588" s="7" t="n">
        <f aca="false">IF(P588=1,M588*N588,0)</f>
        <v>39.56</v>
      </c>
    </row>
    <row r="589" customFormat="false" ht="15" hidden="false" customHeight="false" outlineLevel="0" collapsed="false">
      <c r="A589" s="4" t="n">
        <v>10627</v>
      </c>
      <c r="B589" s="4" t="s">
        <v>1440</v>
      </c>
      <c r="C589" s="4" t="s">
        <v>178</v>
      </c>
      <c r="D589" s="4" t="s">
        <v>171</v>
      </c>
      <c r="E589" s="4" t="s">
        <v>448</v>
      </c>
      <c r="F589" s="4" t="n">
        <v>1</v>
      </c>
      <c r="G589" s="4" t="s">
        <v>1441</v>
      </c>
      <c r="H589" s="4" t="s">
        <v>47</v>
      </c>
      <c r="I589" s="4" t="s">
        <v>1442</v>
      </c>
      <c r="J589" s="6" t="n">
        <f aca="false">IFERROR(DATEVALUE(B589),"")</f>
        <v>45335</v>
      </c>
      <c r="K589" s="4" t="str">
        <f aca="false">IF(A589="","",PROPER(TRIM(C589)))</f>
        <v>South</v>
      </c>
      <c r="L589" s="4" t="str">
        <f aca="false">IF(A589="","",PROPER(TRIM(D589)))</f>
        <v>Camping Gear</v>
      </c>
      <c r="M589" s="4" t="n">
        <f aca="false">IFERROR(VALUE(F589),0)</f>
        <v>1</v>
      </c>
      <c r="N589" s="7" t="n">
        <f aca="false">IFERROR(VALUE(SUBSTITUTE(G589,"$","")),0)</f>
        <v>200.2</v>
      </c>
      <c r="O589" s="4" t="n">
        <f aca="false">IF(A589="",0,IF(COUNTIF($A$2:A589,A589)&gt;1,1,0))</f>
        <v>0</v>
      </c>
      <c r="P589" s="4" t="n">
        <f aca="false">IF(AND(A589&lt;&gt;"",J589&lt;&gt;"",M589&gt;0,N589&gt;0,O589=0),1,0)</f>
        <v>1</v>
      </c>
      <c r="Q589" s="7" t="n">
        <f aca="false">IF(P589=1,M589*N589,0)</f>
        <v>200.2</v>
      </c>
    </row>
    <row r="590" customFormat="false" ht="15" hidden="false" customHeight="false" outlineLevel="0" collapsed="false">
      <c r="A590" s="4" t="n">
        <v>10183</v>
      </c>
      <c r="B590" s="4" t="s">
        <v>1443</v>
      </c>
      <c r="C590" s="4" t="s">
        <v>50</v>
      </c>
      <c r="D590" s="4" t="s">
        <v>70</v>
      </c>
      <c r="E590" s="4" t="s">
        <v>251</v>
      </c>
      <c r="F590" s="4" t="n">
        <v>2</v>
      </c>
      <c r="G590" s="4" t="s">
        <v>1444</v>
      </c>
      <c r="H590" s="4" t="s">
        <v>73</v>
      </c>
      <c r="I590" s="4" t="s">
        <v>1064</v>
      </c>
      <c r="J590" s="6" t="n">
        <f aca="false">IFERROR(DATEVALUE(B590),"")</f>
        <v>45432</v>
      </c>
      <c r="K590" s="4" t="str">
        <f aca="false">IF(A590="","",PROPER(TRIM(C590)))</f>
        <v>Midwest</v>
      </c>
      <c r="L590" s="4" t="str">
        <f aca="false">IF(A590="","",PROPER(TRIM(D590)))</f>
        <v>Camping Gear</v>
      </c>
      <c r="M590" s="4" t="n">
        <f aca="false">IFERROR(VALUE(F590),0)</f>
        <v>2</v>
      </c>
      <c r="N590" s="7" t="n">
        <f aca="false">IFERROR(VALUE(SUBSTITUTE(G590,"$","")),0)</f>
        <v>85.12</v>
      </c>
      <c r="O590" s="4" t="n">
        <f aca="false">IF(A590="",0,IF(COUNTIF($A$2:A590,A590)&gt;1,1,0))</f>
        <v>0</v>
      </c>
      <c r="P590" s="4" t="n">
        <f aca="false">IF(AND(A590&lt;&gt;"",J590&lt;&gt;"",M590&gt;0,N590&gt;0,O590=0),1,0)</f>
        <v>1</v>
      </c>
      <c r="Q590" s="7" t="n">
        <f aca="false">IF(P590=1,M590*N590,0)</f>
        <v>170.24</v>
      </c>
    </row>
    <row r="591" customFormat="false" ht="15" hidden="false" customHeight="false" outlineLevel="0" collapsed="false">
      <c r="A591" s="4" t="n">
        <v>10679</v>
      </c>
      <c r="B591" s="4" t="s">
        <v>1227</v>
      </c>
      <c r="C591" s="4" t="s">
        <v>105</v>
      </c>
      <c r="D591" s="4" t="s">
        <v>129</v>
      </c>
      <c r="E591" s="4" t="s">
        <v>125</v>
      </c>
      <c r="F591" s="4" t="n">
        <v>3</v>
      </c>
      <c r="G591" s="4" t="s">
        <v>1445</v>
      </c>
      <c r="H591" s="4" t="s">
        <v>47</v>
      </c>
      <c r="I591" s="4" t="s">
        <v>965</v>
      </c>
      <c r="J591" s="6" t="n">
        <f aca="false">IFERROR(DATEVALUE(B591),"")</f>
        <v>45698</v>
      </c>
      <c r="K591" s="4" t="str">
        <f aca="false">IF(A591="","",PROPER(TRIM(C591)))</f>
        <v>Midwest</v>
      </c>
      <c r="L591" s="4" t="str">
        <f aca="false">IF(A591="","",PROPER(TRIM(D591)))</f>
        <v>Climbing Gear</v>
      </c>
      <c r="M591" s="4" t="n">
        <f aca="false">IFERROR(VALUE(F591),0)</f>
        <v>3</v>
      </c>
      <c r="N591" s="7" t="n">
        <f aca="false">IFERROR(VALUE(SUBSTITUTE(G591,"$","")),0)</f>
        <v>95.53</v>
      </c>
      <c r="O591" s="4" t="n">
        <f aca="false">IF(A591="",0,IF(COUNTIF($A$2:A591,A591)&gt;1,1,0))</f>
        <v>0</v>
      </c>
      <c r="P591" s="4" t="n">
        <f aca="false">IF(AND(A591&lt;&gt;"",J591&lt;&gt;"",M591&gt;0,N591&gt;0,O591=0),1,0)</f>
        <v>1</v>
      </c>
      <c r="Q591" s="7" t="n">
        <f aca="false">IF(P591=1,M591*N591,0)</f>
        <v>286.59</v>
      </c>
    </row>
    <row r="592" customFormat="false" ht="15" hidden="false" customHeight="false" outlineLevel="0" collapsed="false">
      <c r="A592" s="4" t="n">
        <v>10615</v>
      </c>
      <c r="B592" s="4" t="s">
        <v>768</v>
      </c>
      <c r="C592" s="4" t="s">
        <v>133</v>
      </c>
      <c r="D592" s="4" t="s">
        <v>575</v>
      </c>
      <c r="E592" s="4" t="s">
        <v>52</v>
      </c>
      <c r="F592" s="4" t="n">
        <v>1</v>
      </c>
      <c r="G592" s="4" t="s">
        <v>769</v>
      </c>
      <c r="H592" s="4" t="s">
        <v>73</v>
      </c>
      <c r="I592" s="4" t="s">
        <v>373</v>
      </c>
      <c r="J592" s="6" t="n">
        <f aca="false">IFERROR(DATEVALUE(B592),"")</f>
        <v>45473</v>
      </c>
      <c r="K592" s="4" t="str">
        <f aca="false">IF(A592="","",PROPER(TRIM(C592)))</f>
        <v>East</v>
      </c>
      <c r="L592" s="4" t="str">
        <f aca="false">IF(A592="","",PROPER(TRIM(D592)))</f>
        <v>Accessories</v>
      </c>
      <c r="M592" s="4" t="n">
        <f aca="false">IFERROR(VALUE(F592),0)</f>
        <v>1</v>
      </c>
      <c r="N592" s="7" t="n">
        <f aca="false">IFERROR(VALUE(SUBSTITUTE(G592,"$","")),0)</f>
        <v>93.6</v>
      </c>
      <c r="O592" s="4" t="n">
        <f aca="false">IF(A592="",0,IF(COUNTIF($A$2:A592,A592)&gt;1,1,0))</f>
        <v>1</v>
      </c>
      <c r="P592" s="4" t="n">
        <f aca="false">IF(AND(A592&lt;&gt;"",J592&lt;&gt;"",M592&gt;0,N592&gt;0,O592=0),1,0)</f>
        <v>0</v>
      </c>
      <c r="Q592" s="7" t="n">
        <f aca="false">IF(P592=1,M592*N592,0)</f>
        <v>0</v>
      </c>
    </row>
    <row r="593" customFormat="false" ht="15" hidden="false" customHeight="false" outlineLevel="0" collapsed="false">
      <c r="A593" s="4" t="n">
        <v>10606</v>
      </c>
      <c r="B593" s="4" t="s">
        <v>119</v>
      </c>
      <c r="C593" s="4" t="s">
        <v>224</v>
      </c>
      <c r="D593" s="4" t="s">
        <v>281</v>
      </c>
      <c r="E593" s="4" t="s">
        <v>203</v>
      </c>
      <c r="F593" s="4" t="n">
        <v>4</v>
      </c>
      <c r="G593" s="4" t="s">
        <v>1446</v>
      </c>
      <c r="H593" s="4" t="s">
        <v>54</v>
      </c>
      <c r="I593" s="4" t="s">
        <v>279</v>
      </c>
      <c r="J593" s="6" t="n">
        <f aca="false">IFERROR(DATEVALUE(B593),"")</f>
        <v>45316</v>
      </c>
      <c r="K593" s="4" t="str">
        <f aca="false">IF(A593="","",PROPER(TRIM(C593)))</f>
        <v>East</v>
      </c>
      <c r="L593" s="4" t="str">
        <f aca="false">IF(A593="","",PROPER(TRIM(D593)))</f>
        <v>Camping Gear</v>
      </c>
      <c r="M593" s="4" t="n">
        <f aca="false">IFERROR(VALUE(F593),0)</f>
        <v>4</v>
      </c>
      <c r="N593" s="7" t="n">
        <f aca="false">IFERROR(VALUE(SUBSTITUTE(G593,"$","")),0)</f>
        <v>216.03</v>
      </c>
      <c r="O593" s="4" t="n">
        <f aca="false">IF(A593="",0,IF(COUNTIF($A$2:A593,A593)&gt;1,1,0))</f>
        <v>0</v>
      </c>
      <c r="P593" s="4" t="n">
        <f aca="false">IF(AND(A593&lt;&gt;"",J593&lt;&gt;"",M593&gt;0,N593&gt;0,O593=0),1,0)</f>
        <v>1</v>
      </c>
      <c r="Q593" s="7" t="n">
        <f aca="false">IF(P593=1,M593*N593,0)</f>
        <v>864.12</v>
      </c>
    </row>
    <row r="594" customFormat="false" ht="15" hidden="false" customHeight="false" outlineLevel="0" collapsed="false">
      <c r="A594" s="4" t="n">
        <v>10123</v>
      </c>
      <c r="B594" s="4" t="s">
        <v>587</v>
      </c>
      <c r="C594" s="4" t="s">
        <v>50</v>
      </c>
      <c r="D594" s="4" t="s">
        <v>575</v>
      </c>
      <c r="E594" s="4" t="s">
        <v>52</v>
      </c>
      <c r="F594" s="4" t="n">
        <v>1</v>
      </c>
      <c r="G594" s="4" t="s">
        <v>588</v>
      </c>
      <c r="H594" s="4" t="s">
        <v>47</v>
      </c>
      <c r="I594" s="4" t="s">
        <v>589</v>
      </c>
      <c r="J594" s="6" t="n">
        <f aca="false">IFERROR(DATEVALUE(B594),"")</f>
        <v>45797</v>
      </c>
      <c r="K594" s="4" t="str">
        <f aca="false">IF(A594="","",PROPER(TRIM(C594)))</f>
        <v>Midwest</v>
      </c>
      <c r="L594" s="4" t="str">
        <f aca="false">IF(A594="","",PROPER(TRIM(D594)))</f>
        <v>Accessories</v>
      </c>
      <c r="M594" s="4" t="n">
        <f aca="false">IFERROR(VALUE(F594),0)</f>
        <v>1</v>
      </c>
      <c r="N594" s="7" t="n">
        <f aca="false">IFERROR(VALUE(SUBSTITUTE(G594,"$","")),0)</f>
        <v>81.72</v>
      </c>
      <c r="O594" s="4" t="n">
        <f aca="false">IF(A594="",0,IF(COUNTIF($A$2:A594,A594)&gt;1,1,0))</f>
        <v>1</v>
      </c>
      <c r="P594" s="4" t="n">
        <f aca="false">IF(AND(A594&lt;&gt;"",J594&lt;&gt;"",M594&gt;0,N594&gt;0,O594=0),1,0)</f>
        <v>0</v>
      </c>
      <c r="Q594" s="7" t="n">
        <f aca="false">IF(P594=1,M594*N594,0)</f>
        <v>0</v>
      </c>
    </row>
    <row r="595" customFormat="false" ht="15" hidden="false" customHeight="false" outlineLevel="0" collapsed="false">
      <c r="A595" s="4" t="n">
        <v>10493</v>
      </c>
      <c r="B595" s="4" t="s">
        <v>1447</v>
      </c>
      <c r="C595" s="4" t="s">
        <v>50</v>
      </c>
      <c r="D595" s="4" t="s">
        <v>333</v>
      </c>
      <c r="E595" s="4" t="s">
        <v>160</v>
      </c>
      <c r="F595" s="4" t="n">
        <v>4</v>
      </c>
      <c r="G595" s="4" t="s">
        <v>1448</v>
      </c>
      <c r="H595" s="4" t="s">
        <v>73</v>
      </c>
      <c r="I595" s="4" t="s">
        <v>91</v>
      </c>
      <c r="J595" s="6" t="n">
        <f aca="false">IFERROR(DATEVALUE(B595),"")</f>
        <v>45327</v>
      </c>
      <c r="K595" s="4" t="str">
        <f aca="false">IF(A595="","",PROPER(TRIM(C595)))</f>
        <v>Midwest</v>
      </c>
      <c r="L595" s="4" t="str">
        <f aca="false">IF(A595="","",PROPER(TRIM(D595)))</f>
        <v>Accessories</v>
      </c>
      <c r="M595" s="4" t="n">
        <f aca="false">IFERROR(VALUE(F595),0)</f>
        <v>4</v>
      </c>
      <c r="N595" s="7" t="n">
        <f aca="false">IFERROR(VALUE(SUBSTITUTE(G595,"$","")),0)</f>
        <v>28.27</v>
      </c>
      <c r="O595" s="4" t="n">
        <f aca="false">IF(A595="",0,IF(COUNTIF($A$2:A595,A595)&gt;1,1,0))</f>
        <v>0</v>
      </c>
      <c r="P595" s="4" t="n">
        <f aca="false">IF(AND(A595&lt;&gt;"",J595&lt;&gt;"",M595&gt;0,N595&gt;0,O595=0),1,0)</f>
        <v>1</v>
      </c>
      <c r="Q595" s="7" t="n">
        <f aca="false">IF(P595=1,M595*N595,0)</f>
        <v>113.08</v>
      </c>
    </row>
    <row r="596" customFormat="false" ht="15" hidden="false" customHeight="false" outlineLevel="0" collapsed="false">
      <c r="A596" s="4" t="n">
        <v>10374</v>
      </c>
      <c r="B596" s="4" t="s">
        <v>1449</v>
      </c>
      <c r="C596" s="4" t="s">
        <v>133</v>
      </c>
      <c r="D596" s="4" t="s">
        <v>88</v>
      </c>
      <c r="E596" s="4" t="s">
        <v>142</v>
      </c>
      <c r="F596" s="4" t="n">
        <v>4</v>
      </c>
      <c r="G596" s="4" t="s">
        <v>1450</v>
      </c>
      <c r="H596" s="4" t="s">
        <v>54</v>
      </c>
      <c r="I596" s="4" t="s">
        <v>1451</v>
      </c>
      <c r="J596" s="6" t="n">
        <f aca="false">IFERROR(DATEVALUE(B596),"")</f>
        <v>45733</v>
      </c>
      <c r="K596" s="4" t="str">
        <f aca="false">IF(A596="","",PROPER(TRIM(C596)))</f>
        <v>East</v>
      </c>
      <c r="L596" s="4" t="str">
        <f aca="false">IF(A596="","",PROPER(TRIM(D596)))</f>
        <v>Apparel</v>
      </c>
      <c r="M596" s="4" t="n">
        <f aca="false">IFERROR(VALUE(F596),0)</f>
        <v>4</v>
      </c>
      <c r="N596" s="7" t="n">
        <f aca="false">IFERROR(VALUE(SUBSTITUTE(G596,"$","")),0)</f>
        <v>167.93</v>
      </c>
      <c r="O596" s="4" t="n">
        <f aca="false">IF(A596="",0,IF(COUNTIF($A$2:A596,A596)&gt;1,1,0))</f>
        <v>0</v>
      </c>
      <c r="P596" s="4" t="n">
        <f aca="false">IF(AND(A596&lt;&gt;"",J596&lt;&gt;"",M596&gt;0,N596&gt;0,O596=0),1,0)</f>
        <v>1</v>
      </c>
      <c r="Q596" s="7" t="n">
        <f aca="false">IF(P596=1,M596*N596,0)</f>
        <v>671.72</v>
      </c>
    </row>
    <row r="597" customFormat="false" ht="15" hidden="false" customHeight="false" outlineLevel="0" collapsed="false">
      <c r="A597" s="4" t="n">
        <v>10694</v>
      </c>
      <c r="B597" s="4" t="s">
        <v>1452</v>
      </c>
      <c r="C597" s="4" t="s">
        <v>43</v>
      </c>
      <c r="D597" s="4" t="s">
        <v>171</v>
      </c>
      <c r="E597" s="4" t="s">
        <v>251</v>
      </c>
      <c r="F597" s="4" t="n">
        <v>1</v>
      </c>
      <c r="G597" s="4" t="s">
        <v>1453</v>
      </c>
      <c r="H597" s="4" t="s">
        <v>47</v>
      </c>
      <c r="I597" s="4" t="s">
        <v>1454</v>
      </c>
      <c r="J597" s="6" t="n">
        <f aca="false">IFERROR(DATEVALUE(B597),"")</f>
        <v>45588</v>
      </c>
      <c r="K597" s="4" t="str">
        <f aca="false">IF(A597="","",PROPER(TRIM(C597)))</f>
        <v>South</v>
      </c>
      <c r="L597" s="4" t="str">
        <f aca="false">IF(A597="","",PROPER(TRIM(D597)))</f>
        <v>Camping Gear</v>
      </c>
      <c r="M597" s="4" t="n">
        <f aca="false">IFERROR(VALUE(F597),0)</f>
        <v>1</v>
      </c>
      <c r="N597" s="7" t="n">
        <f aca="false">IFERROR(VALUE(SUBSTITUTE(G597,"$","")),0)</f>
        <v>86.92</v>
      </c>
      <c r="O597" s="4" t="n">
        <f aca="false">IF(A597="",0,IF(COUNTIF($A$2:A597,A597)&gt;1,1,0))</f>
        <v>0</v>
      </c>
      <c r="P597" s="4" t="n">
        <f aca="false">IF(AND(A597&lt;&gt;"",J597&lt;&gt;"",M597&gt;0,N597&gt;0,O597=0),1,0)</f>
        <v>1</v>
      </c>
      <c r="Q597" s="7" t="n">
        <f aca="false">IF(P597=1,M597*N597,0)</f>
        <v>86.92</v>
      </c>
    </row>
    <row r="598" customFormat="false" ht="15" hidden="false" customHeight="false" outlineLevel="0" collapsed="false">
      <c r="A598" s="4" t="n">
        <v>10164</v>
      </c>
      <c r="B598" s="4" t="s">
        <v>759</v>
      </c>
      <c r="C598" s="4" t="s">
        <v>224</v>
      </c>
      <c r="D598" s="4" t="s">
        <v>129</v>
      </c>
      <c r="E598" s="4" t="s">
        <v>94</v>
      </c>
      <c r="F598" s="4" t="n">
        <v>5</v>
      </c>
      <c r="G598" s="4" t="s">
        <v>1455</v>
      </c>
      <c r="H598" s="4" t="s">
        <v>54</v>
      </c>
      <c r="I598" s="4" t="s">
        <v>91</v>
      </c>
      <c r="J598" s="6" t="n">
        <f aca="false">IFERROR(DATEVALUE(B598),"")</f>
        <v>45755</v>
      </c>
      <c r="K598" s="4" t="str">
        <f aca="false">IF(A598="","",PROPER(TRIM(C598)))</f>
        <v>East</v>
      </c>
      <c r="L598" s="4" t="str">
        <f aca="false">IF(A598="","",PROPER(TRIM(D598)))</f>
        <v>Climbing Gear</v>
      </c>
      <c r="M598" s="4" t="n">
        <f aca="false">IFERROR(VALUE(F598),0)</f>
        <v>5</v>
      </c>
      <c r="N598" s="7" t="n">
        <f aca="false">IFERROR(VALUE(SUBSTITUTE(G598,"$","")),0)</f>
        <v>153.08</v>
      </c>
      <c r="O598" s="4" t="n">
        <f aca="false">IF(A598="",0,IF(COUNTIF($A$2:A598,A598)&gt;1,1,0))</f>
        <v>0</v>
      </c>
      <c r="P598" s="4" t="n">
        <f aca="false">IF(AND(A598&lt;&gt;"",J598&lt;&gt;"",M598&gt;0,N598&gt;0,O598=0),1,0)</f>
        <v>1</v>
      </c>
      <c r="Q598" s="7" t="n">
        <f aca="false">IF(P598=1,M598*N598,0)</f>
        <v>765.4</v>
      </c>
    </row>
    <row r="599" customFormat="false" ht="15" hidden="false" customHeight="false" outlineLevel="0" collapsed="false">
      <c r="A599" s="4" t="n">
        <v>10568</v>
      </c>
      <c r="B599" s="4" t="s">
        <v>1456</v>
      </c>
      <c r="C599" s="4" t="s">
        <v>224</v>
      </c>
      <c r="D599" s="4" t="s">
        <v>58</v>
      </c>
      <c r="E599" s="4" t="s">
        <v>94</v>
      </c>
      <c r="F599" s="4" t="n">
        <v>5</v>
      </c>
      <c r="G599" s="4" t="s">
        <v>1457</v>
      </c>
      <c r="H599" s="4" t="s">
        <v>47</v>
      </c>
      <c r="I599" s="4" t="s">
        <v>1136</v>
      </c>
      <c r="J599" s="6" t="n">
        <f aca="false">IFERROR(DATEVALUE(B599),"")</f>
        <v>45317</v>
      </c>
      <c r="K599" s="4" t="str">
        <f aca="false">IF(A599="","",PROPER(TRIM(C599)))</f>
        <v>East</v>
      </c>
      <c r="L599" s="4" t="str">
        <f aca="false">IF(A599="","",PROPER(TRIM(D599)))</f>
        <v>Climbing Gear</v>
      </c>
      <c r="M599" s="4" t="n">
        <f aca="false">IFERROR(VALUE(F599),0)</f>
        <v>5</v>
      </c>
      <c r="N599" s="7" t="n">
        <f aca="false">IFERROR(VALUE(SUBSTITUTE(G599,"$","")),0)</f>
        <v>177.52</v>
      </c>
      <c r="O599" s="4" t="n">
        <f aca="false">IF(A599="",0,IF(COUNTIF($A$2:A599,A599)&gt;1,1,0))</f>
        <v>0</v>
      </c>
      <c r="P599" s="4" t="n">
        <f aca="false">IF(AND(A599&lt;&gt;"",J599&lt;&gt;"",M599&gt;0,N599&gt;0,O599=0),1,0)</f>
        <v>1</v>
      </c>
      <c r="Q599" s="7" t="n">
        <f aca="false">IF(P599=1,M599*N599,0)</f>
        <v>887.6</v>
      </c>
    </row>
    <row r="600" customFormat="false" ht="15" hidden="false" customHeight="false" outlineLevel="0" collapsed="false">
      <c r="A600" s="4" t="n">
        <v>10058</v>
      </c>
      <c r="B600" s="4" t="s">
        <v>1458</v>
      </c>
      <c r="C600" s="4" t="s">
        <v>93</v>
      </c>
      <c r="D600" s="4" t="s">
        <v>70</v>
      </c>
      <c r="E600" s="4" t="s">
        <v>71</v>
      </c>
      <c r="F600" s="4" t="n">
        <v>1</v>
      </c>
      <c r="G600" s="4" t="s">
        <v>1459</v>
      </c>
      <c r="H600" s="4" t="s">
        <v>47</v>
      </c>
      <c r="I600" s="4" t="s">
        <v>1235</v>
      </c>
      <c r="J600" s="6" t="n">
        <f aca="false">IFERROR(DATEVALUE(B600),"")</f>
        <v>45358</v>
      </c>
      <c r="K600" s="4" t="str">
        <f aca="false">IF(A600="","",PROPER(TRIM(C600)))</f>
        <v>West</v>
      </c>
      <c r="L600" s="4" t="str">
        <f aca="false">IF(A600="","",PROPER(TRIM(D600)))</f>
        <v>Camping Gear</v>
      </c>
      <c r="M600" s="4" t="n">
        <f aca="false">IFERROR(VALUE(F600),0)</f>
        <v>1</v>
      </c>
      <c r="N600" s="7" t="n">
        <f aca="false">IFERROR(VALUE(SUBSTITUTE(G600,"$","")),0)</f>
        <v>63.32</v>
      </c>
      <c r="O600" s="4" t="n">
        <f aca="false">IF(A600="",0,IF(COUNTIF($A$2:A600,A600)&gt;1,1,0))</f>
        <v>0</v>
      </c>
      <c r="P600" s="4" t="n">
        <f aca="false">IF(AND(A600&lt;&gt;"",J600&lt;&gt;"",M600&gt;0,N600&gt;0,O600=0),1,0)</f>
        <v>1</v>
      </c>
      <c r="Q600" s="7" t="n">
        <f aca="false">IF(P600=1,M600*N600,0)</f>
        <v>63.32</v>
      </c>
    </row>
    <row r="601" customFormat="false" ht="15" hidden="false" customHeight="false" outlineLevel="0" collapsed="false">
      <c r="A601" s="4" t="n">
        <v>10463</v>
      </c>
      <c r="B601" s="4" t="s">
        <v>949</v>
      </c>
      <c r="C601" s="4" t="s">
        <v>332</v>
      </c>
      <c r="D601" s="4" t="s">
        <v>230</v>
      </c>
      <c r="E601" s="4" t="s">
        <v>142</v>
      </c>
      <c r="F601" s="4" t="n">
        <v>3</v>
      </c>
      <c r="G601" s="4" t="s">
        <v>1460</v>
      </c>
      <c r="H601" s="4" t="s">
        <v>47</v>
      </c>
      <c r="I601" s="4" t="s">
        <v>741</v>
      </c>
      <c r="J601" s="6" t="n">
        <f aca="false">IFERROR(DATEVALUE(B601),"")</f>
        <v>45445</v>
      </c>
      <c r="K601" s="4" t="str">
        <f aca="false">IF(A601="","",PROPER(TRIM(C601)))</f>
        <v>West</v>
      </c>
      <c r="L601" s="4" t="str">
        <f aca="false">IF(A601="","",PROPER(TRIM(D601)))</f>
        <v>Apparel</v>
      </c>
      <c r="M601" s="4" t="n">
        <f aca="false">IFERROR(VALUE(F601),0)</f>
        <v>3</v>
      </c>
      <c r="N601" s="7" t="n">
        <f aca="false">IFERROR(VALUE(SUBSTITUTE(G601,"$","")),0)</f>
        <v>177.16</v>
      </c>
      <c r="O601" s="4" t="n">
        <f aca="false">IF(A601="",0,IF(COUNTIF($A$2:A601,A601)&gt;1,1,0))</f>
        <v>0</v>
      </c>
      <c r="P601" s="4" t="n">
        <f aca="false">IF(AND(A601&lt;&gt;"",J601&lt;&gt;"",M601&gt;0,N601&gt;0,O601=0),1,0)</f>
        <v>1</v>
      </c>
      <c r="Q601" s="7" t="n">
        <f aca="false">IF(P601=1,M601*N601,0)</f>
        <v>531.48</v>
      </c>
    </row>
    <row r="602" customFormat="false" ht="15" hidden="false" customHeight="false" outlineLevel="0" collapsed="false">
      <c r="A602" s="4" t="n">
        <v>10557</v>
      </c>
      <c r="B602" s="4" t="s">
        <v>1461</v>
      </c>
      <c r="C602" s="4" t="s">
        <v>93</v>
      </c>
      <c r="D602" s="4" t="s">
        <v>76</v>
      </c>
      <c r="E602" s="4" t="s">
        <v>77</v>
      </c>
      <c r="F602" s="4" t="n">
        <v>3</v>
      </c>
      <c r="G602" s="4" t="s">
        <v>1462</v>
      </c>
      <c r="H602" s="4" t="s">
        <v>73</v>
      </c>
      <c r="I602" s="4" t="s">
        <v>1284</v>
      </c>
      <c r="J602" s="6" t="n">
        <f aca="false">IFERROR(DATEVALUE(B602),"")</f>
        <v>45368</v>
      </c>
      <c r="K602" s="4" t="str">
        <f aca="false">IF(A602="","",PROPER(TRIM(C602)))</f>
        <v>West</v>
      </c>
      <c r="L602" s="4" t="str">
        <f aca="false">IF(A602="","",PROPER(TRIM(D602)))</f>
        <v>Footwear</v>
      </c>
      <c r="M602" s="4" t="n">
        <f aca="false">IFERROR(VALUE(F602),0)</f>
        <v>3</v>
      </c>
      <c r="N602" s="7" t="n">
        <f aca="false">IFERROR(VALUE(SUBSTITUTE(G602,"$","")),0)</f>
        <v>128.67</v>
      </c>
      <c r="O602" s="4" t="n">
        <f aca="false">IF(A602="",0,IF(COUNTIF($A$2:A602,A602)&gt;1,1,0))</f>
        <v>0</v>
      </c>
      <c r="P602" s="4" t="n">
        <f aca="false">IF(AND(A602&lt;&gt;"",J602&lt;&gt;"",M602&gt;0,N602&gt;0,O602=0),1,0)</f>
        <v>1</v>
      </c>
      <c r="Q602" s="7" t="n">
        <f aca="false">IF(P602=1,M602*N602,0)</f>
        <v>386.01</v>
      </c>
    </row>
    <row r="603" customFormat="false" ht="15" hidden="false" customHeight="false" outlineLevel="0" collapsed="false">
      <c r="A603" s="4" t="n">
        <v>10142</v>
      </c>
      <c r="B603" s="4" t="s">
        <v>1463</v>
      </c>
      <c r="C603" s="4" t="s">
        <v>120</v>
      </c>
      <c r="D603" s="4" t="s">
        <v>179</v>
      </c>
      <c r="E603" s="4" t="s">
        <v>125</v>
      </c>
      <c r="F603" s="4" t="n">
        <v>1</v>
      </c>
      <c r="G603" s="4" t="s">
        <v>1464</v>
      </c>
      <c r="H603" s="4" t="s">
        <v>47</v>
      </c>
      <c r="I603" s="4" t="s">
        <v>1382</v>
      </c>
      <c r="J603" s="6" t="n">
        <f aca="false">IFERROR(DATEVALUE(B603),"")</f>
        <v>45835</v>
      </c>
      <c r="K603" s="4" t="str">
        <f aca="false">IF(A603="","",PROPER(TRIM(C603)))</f>
        <v>East</v>
      </c>
      <c r="L603" s="4" t="str">
        <f aca="false">IF(A603="","",PROPER(TRIM(D603)))</f>
        <v>Climbing Gear</v>
      </c>
      <c r="M603" s="4" t="n">
        <f aca="false">IFERROR(VALUE(F603),0)</f>
        <v>1</v>
      </c>
      <c r="N603" s="7" t="n">
        <f aca="false">IFERROR(VALUE(SUBSTITUTE(G603,"$","")),0)</f>
        <v>94.15</v>
      </c>
      <c r="O603" s="4" t="n">
        <f aca="false">IF(A603="",0,IF(COUNTIF($A$2:A603,A603)&gt;1,1,0))</f>
        <v>0</v>
      </c>
      <c r="P603" s="4" t="n">
        <f aca="false">IF(AND(A603&lt;&gt;"",J603&lt;&gt;"",M603&gt;0,N603&gt;0,O603=0),1,0)</f>
        <v>1</v>
      </c>
      <c r="Q603" s="7" t="n">
        <f aca="false">IF(P603=1,M603*N603,0)</f>
        <v>94.15</v>
      </c>
    </row>
    <row r="604" customFormat="false" ht="15" hidden="false" customHeight="false" outlineLevel="0" collapsed="false">
      <c r="A604" s="4" t="n">
        <v>10133</v>
      </c>
      <c r="B604" s="4" t="s">
        <v>1465</v>
      </c>
      <c r="C604" s="4" t="s">
        <v>133</v>
      </c>
      <c r="D604" s="4" t="s">
        <v>81</v>
      </c>
      <c r="E604" s="4" t="s">
        <v>151</v>
      </c>
      <c r="F604" s="4" t="n">
        <v>0</v>
      </c>
      <c r="G604" s="4" t="s">
        <v>1466</v>
      </c>
      <c r="H604" s="4" t="s">
        <v>73</v>
      </c>
      <c r="I604" s="4" t="s">
        <v>1467</v>
      </c>
      <c r="J604" s="6" t="n">
        <f aca="false">IFERROR(DATEVALUE(B604),"")</f>
        <v>45641</v>
      </c>
      <c r="K604" s="4" t="str">
        <f aca="false">IF(A604="","",PROPER(TRIM(C604)))</f>
        <v>East</v>
      </c>
      <c r="L604" s="4" t="str">
        <f aca="false">IF(A604="","",PROPER(TRIM(D604)))</f>
        <v>Footwear</v>
      </c>
      <c r="M604" s="4" t="n">
        <f aca="false">IFERROR(VALUE(F604),0)</f>
        <v>0</v>
      </c>
      <c r="N604" s="7" t="n">
        <f aca="false">IFERROR(VALUE(SUBSTITUTE(G604,"$","")),0)</f>
        <v>165.25</v>
      </c>
      <c r="O604" s="4" t="n">
        <f aca="false">IF(A604="",0,IF(COUNTIF($A$2:A604,A604)&gt;1,1,0))</f>
        <v>0</v>
      </c>
      <c r="P604" s="4" t="n">
        <f aca="false">IF(AND(A604&lt;&gt;"",J604&lt;&gt;"",M604&gt;0,N604&gt;0,O604=0),1,0)</f>
        <v>0</v>
      </c>
      <c r="Q604" s="7" t="n">
        <f aca="false">IF(P604=1,M604*N604,0)</f>
        <v>0</v>
      </c>
    </row>
    <row r="605" customFormat="false" ht="15" hidden="false" customHeight="false" outlineLevel="0" collapsed="false">
      <c r="A605" s="4" t="n">
        <v>10072</v>
      </c>
      <c r="B605" s="4" t="s">
        <v>1468</v>
      </c>
      <c r="C605" s="4" t="s">
        <v>155</v>
      </c>
      <c r="D605" s="4" t="s">
        <v>230</v>
      </c>
      <c r="E605" s="4" t="s">
        <v>142</v>
      </c>
      <c r="F605" s="4" t="n">
        <v>1</v>
      </c>
      <c r="G605" s="4" t="s">
        <v>1469</v>
      </c>
      <c r="H605" s="4" t="s">
        <v>47</v>
      </c>
      <c r="I605" s="4" t="s">
        <v>91</v>
      </c>
      <c r="J605" s="6" t="n">
        <f aca="false">IFERROR(DATEVALUE(B605),"")</f>
        <v>45793</v>
      </c>
      <c r="K605" s="4" t="str">
        <f aca="false">IF(A605="","",PROPER(TRIM(C605)))</f>
        <v>South</v>
      </c>
      <c r="L605" s="4" t="str">
        <f aca="false">IF(A605="","",PROPER(TRIM(D605)))</f>
        <v>Apparel</v>
      </c>
      <c r="M605" s="4" t="n">
        <f aca="false">IFERROR(VALUE(F605),0)</f>
        <v>1</v>
      </c>
      <c r="N605" s="7" t="n">
        <f aca="false">IFERROR(VALUE(SUBSTITUTE(G605,"$","")),0)</f>
        <v>162.15</v>
      </c>
      <c r="O605" s="4" t="n">
        <f aca="false">IF(A605="",0,IF(COUNTIF($A$2:A605,A605)&gt;1,1,0))</f>
        <v>0</v>
      </c>
      <c r="P605" s="4" t="n">
        <f aca="false">IF(AND(A605&lt;&gt;"",J605&lt;&gt;"",M605&gt;0,N605&gt;0,O605=0),1,0)</f>
        <v>1</v>
      </c>
      <c r="Q605" s="7" t="n">
        <f aca="false">IF(P605=1,M605*N605,0)</f>
        <v>162.15</v>
      </c>
    </row>
    <row r="606" customFormat="false" ht="15" hidden="false" customHeight="false" outlineLevel="0" collapsed="false">
      <c r="A606" s="4" t="n">
        <v>10716</v>
      </c>
      <c r="B606" s="4" t="s">
        <v>1470</v>
      </c>
      <c r="C606" s="4" t="s">
        <v>93</v>
      </c>
      <c r="D606" s="4" t="s">
        <v>250</v>
      </c>
      <c r="E606" s="4" t="s">
        <v>71</v>
      </c>
      <c r="F606" s="4" t="n">
        <v>2</v>
      </c>
      <c r="G606" s="4" t="s">
        <v>1471</v>
      </c>
      <c r="H606" s="4" t="s">
        <v>47</v>
      </c>
      <c r="I606" s="4" t="s">
        <v>1266</v>
      </c>
      <c r="J606" s="6" t="n">
        <f aca="false">IFERROR(DATEVALUE(B606),"")</f>
        <v>45325</v>
      </c>
      <c r="K606" s="4" t="str">
        <f aca="false">IF(A606="","",PROPER(TRIM(C606)))</f>
        <v>West</v>
      </c>
      <c r="L606" s="4" t="str">
        <f aca="false">IF(A606="","",PROPER(TRIM(D606)))</f>
        <v>Camping Gear</v>
      </c>
      <c r="M606" s="4" t="n">
        <f aca="false">IFERROR(VALUE(F606),0)</f>
        <v>2</v>
      </c>
      <c r="N606" s="7" t="n">
        <f aca="false">IFERROR(VALUE(SUBSTITUTE(G606,"$","")),0)</f>
        <v>68.17</v>
      </c>
      <c r="O606" s="4" t="n">
        <f aca="false">IF(A606="",0,IF(COUNTIF($A$2:A606,A606)&gt;1,1,0))</f>
        <v>0</v>
      </c>
      <c r="P606" s="4" t="n">
        <f aca="false">IF(AND(A606&lt;&gt;"",J606&lt;&gt;"",M606&gt;0,N606&gt;0,O606=0),1,0)</f>
        <v>1</v>
      </c>
      <c r="Q606" s="7" t="n">
        <f aca="false">IF(P606=1,M606*N606,0)</f>
        <v>136.34</v>
      </c>
    </row>
    <row r="607" customFormat="false" ht="15" hidden="false" customHeight="false" outlineLevel="0" collapsed="false">
      <c r="A607" s="4" t="n">
        <v>10015</v>
      </c>
      <c r="B607" s="4" t="s">
        <v>1472</v>
      </c>
      <c r="C607" s="4" t="s">
        <v>149</v>
      </c>
      <c r="D607" s="4" t="s">
        <v>171</v>
      </c>
      <c r="E607" s="4" t="s">
        <v>71</v>
      </c>
      <c r="F607" s="4" t="n">
        <v>1</v>
      </c>
      <c r="G607" s="4" t="s">
        <v>1473</v>
      </c>
      <c r="H607" s="4" t="s">
        <v>73</v>
      </c>
      <c r="I607" s="4" t="s">
        <v>176</v>
      </c>
      <c r="J607" s="6" t="n">
        <f aca="false">IFERROR(DATEVALUE(B607),"")</f>
        <v>45396</v>
      </c>
      <c r="K607" s="4" t="str">
        <f aca="false">IF(A607="","",PROPER(TRIM(C607)))</f>
        <v>East</v>
      </c>
      <c r="L607" s="4" t="str">
        <f aca="false">IF(A607="","",PROPER(TRIM(D607)))</f>
        <v>Camping Gear</v>
      </c>
      <c r="M607" s="4" t="n">
        <f aca="false">IFERROR(VALUE(F607),0)</f>
        <v>1</v>
      </c>
      <c r="N607" s="7" t="n">
        <f aca="false">IFERROR(VALUE(SUBSTITUTE(G607,"$","")),0)</f>
        <v>59.8</v>
      </c>
      <c r="O607" s="4" t="n">
        <f aca="false">IF(A607="",0,IF(COUNTIF($A$2:A607,A607)&gt;1,1,0))</f>
        <v>0</v>
      </c>
      <c r="P607" s="4" t="n">
        <f aca="false">IF(AND(A607&lt;&gt;"",J607&lt;&gt;"",M607&gt;0,N607&gt;0,O607=0),1,0)</f>
        <v>1</v>
      </c>
      <c r="Q607" s="7" t="n">
        <f aca="false">IF(P607=1,M607*N607,0)</f>
        <v>59.8</v>
      </c>
    </row>
    <row r="608" customFormat="false" ht="15" hidden="false" customHeight="false" outlineLevel="0" collapsed="false">
      <c r="A608" s="4" t="n">
        <v>10506</v>
      </c>
      <c r="B608" s="4" t="s">
        <v>1474</v>
      </c>
      <c r="C608" s="4" t="s">
        <v>50</v>
      </c>
      <c r="D608" s="4" t="s">
        <v>141</v>
      </c>
      <c r="E608" s="4" t="s">
        <v>116</v>
      </c>
      <c r="F608" s="4" t="n">
        <v>3</v>
      </c>
      <c r="G608" s="4" t="s">
        <v>1475</v>
      </c>
      <c r="H608" s="4" t="s">
        <v>73</v>
      </c>
      <c r="I608" s="4" t="s">
        <v>1102</v>
      </c>
      <c r="J608" s="6" t="n">
        <f aca="false">IFERROR(DATEVALUE(B608),"")</f>
        <v>45453</v>
      </c>
      <c r="K608" s="4" t="str">
        <f aca="false">IF(A608="","",PROPER(TRIM(C608)))</f>
        <v>Midwest</v>
      </c>
      <c r="L608" s="4" t="str">
        <f aca="false">IF(A608="","",PROPER(TRIM(D608)))</f>
        <v>Apparel</v>
      </c>
      <c r="M608" s="4" t="n">
        <f aca="false">IFERROR(VALUE(F608),0)</f>
        <v>3</v>
      </c>
      <c r="N608" s="7" t="n">
        <f aca="false">IFERROR(VALUE(SUBSTITUTE(G608,"$","")),0)</f>
        <v>71.23</v>
      </c>
      <c r="O608" s="4" t="n">
        <f aca="false">IF(A608="",0,IF(COUNTIF($A$2:A608,A608)&gt;1,1,0))</f>
        <v>0</v>
      </c>
      <c r="P608" s="4" t="n">
        <f aca="false">IF(AND(A608&lt;&gt;"",J608&lt;&gt;"",M608&gt;0,N608&gt;0,O608=0),1,0)</f>
        <v>1</v>
      </c>
      <c r="Q608" s="7" t="n">
        <f aca="false">IF(P608=1,M608*N608,0)</f>
        <v>213.69</v>
      </c>
    </row>
    <row r="610" customFormat="false" ht="15" hidden="false" customHeight="false" outlineLevel="0" collapsed="false">
      <c r="A610" s="4" t="n">
        <v>10419</v>
      </c>
      <c r="B610" s="4" t="s">
        <v>1476</v>
      </c>
      <c r="C610" s="4" t="s">
        <v>155</v>
      </c>
      <c r="D610" s="4" t="s">
        <v>58</v>
      </c>
      <c r="E610" s="4" t="s">
        <v>94</v>
      </c>
      <c r="F610" s="4" t="n">
        <v>2</v>
      </c>
      <c r="G610" s="4" t="s">
        <v>1477</v>
      </c>
      <c r="H610" s="4" t="s">
        <v>54</v>
      </c>
      <c r="I610" s="4" t="s">
        <v>743</v>
      </c>
      <c r="J610" s="6" t="n">
        <f aca="false">IFERROR(DATEVALUE(B610),"")</f>
        <v>45584</v>
      </c>
      <c r="K610" s="4" t="str">
        <f aca="false">IF(A610="","",PROPER(TRIM(C610)))</f>
        <v>South</v>
      </c>
      <c r="L610" s="4" t="str">
        <f aca="false">IF(A610="","",PROPER(TRIM(D610)))</f>
        <v>Climbing Gear</v>
      </c>
      <c r="M610" s="4" t="n">
        <f aca="false">IFERROR(VALUE(F610),0)</f>
        <v>2</v>
      </c>
      <c r="N610" s="7" t="n">
        <f aca="false">IFERROR(VALUE(SUBSTITUTE(G610,"$","")),0)</f>
        <v>158.97</v>
      </c>
      <c r="O610" s="4" t="n">
        <f aca="false">IF(A610="",0,IF(COUNTIF($A$2:A610,A610)&gt;1,1,0))</f>
        <v>0</v>
      </c>
      <c r="P610" s="4" t="n">
        <f aca="false">IF(AND(A610&lt;&gt;"",J610&lt;&gt;"",M610&gt;0,N610&gt;0,O610=0),1,0)</f>
        <v>1</v>
      </c>
      <c r="Q610" s="7" t="n">
        <f aca="false">IF(P610=1,M610*N610,0)</f>
        <v>317.94</v>
      </c>
    </row>
    <row r="611" customFormat="false" ht="15" hidden="false" customHeight="false" outlineLevel="0" collapsed="false">
      <c r="A611" s="4" t="n">
        <v>10219</v>
      </c>
      <c r="B611" s="4" t="s">
        <v>1478</v>
      </c>
      <c r="C611" s="4" t="s">
        <v>149</v>
      </c>
      <c r="D611" s="4" t="s">
        <v>141</v>
      </c>
      <c r="E611" s="4" t="s">
        <v>89</v>
      </c>
      <c r="F611" s="4" t="n">
        <v>3</v>
      </c>
      <c r="G611" s="4" t="s">
        <v>1479</v>
      </c>
      <c r="H611" s="4" t="s">
        <v>47</v>
      </c>
      <c r="I611" s="4" t="s">
        <v>289</v>
      </c>
      <c r="J611" s="6" t="n">
        <f aca="false">IFERROR(DATEVALUE(B611),"")</f>
        <v>45536</v>
      </c>
      <c r="K611" s="4" t="str">
        <f aca="false">IF(A611="","",PROPER(TRIM(C611)))</f>
        <v>East</v>
      </c>
      <c r="L611" s="4" t="str">
        <f aca="false">IF(A611="","",PROPER(TRIM(D611)))</f>
        <v>Apparel</v>
      </c>
      <c r="M611" s="4" t="n">
        <f aca="false">IFERROR(VALUE(F611),0)</f>
        <v>3</v>
      </c>
      <c r="N611" s="7" t="n">
        <f aca="false">IFERROR(VALUE(SUBSTITUTE(G611,"$","")),0)</f>
        <v>66.19</v>
      </c>
      <c r="O611" s="4" t="n">
        <f aca="false">IF(A611="",0,IF(COUNTIF($A$2:A611,A611)&gt;1,1,0))</f>
        <v>0</v>
      </c>
      <c r="P611" s="4" t="n">
        <f aca="false">IF(AND(A611&lt;&gt;"",J611&lt;&gt;"",M611&gt;0,N611&gt;0,O611=0),1,0)</f>
        <v>1</v>
      </c>
      <c r="Q611" s="7" t="n">
        <f aca="false">IF(P611=1,M611*N611,0)</f>
        <v>198.57</v>
      </c>
    </row>
    <row r="612" customFormat="false" ht="15" hidden="false" customHeight="false" outlineLevel="0" collapsed="false">
      <c r="A612" s="4" t="n">
        <v>10658</v>
      </c>
      <c r="B612" s="4" t="s">
        <v>1207</v>
      </c>
      <c r="C612" s="4" t="s">
        <v>187</v>
      </c>
      <c r="D612" s="4" t="s">
        <v>106</v>
      </c>
      <c r="E612" s="4" t="s">
        <v>151</v>
      </c>
      <c r="F612" s="4" t="n">
        <v>1</v>
      </c>
      <c r="G612" s="4" t="s">
        <v>1480</v>
      </c>
      <c r="H612" s="4" t="s">
        <v>47</v>
      </c>
      <c r="I612" s="4" t="s">
        <v>162</v>
      </c>
      <c r="J612" s="6" t="n">
        <f aca="false">IFERROR(DATEVALUE(B612),"")</f>
        <v>45399</v>
      </c>
      <c r="K612" s="4" t="str">
        <f aca="false">IF(A612="","",PROPER(TRIM(C612)))</f>
        <v>East</v>
      </c>
      <c r="L612" s="4" t="str">
        <f aca="false">IF(A612="","",PROPER(TRIM(D612)))</f>
        <v>Footwear</v>
      </c>
      <c r="M612" s="4" t="n">
        <f aca="false">IFERROR(VALUE(F612),0)</f>
        <v>1</v>
      </c>
      <c r="N612" s="7" t="n">
        <f aca="false">IFERROR(VALUE(SUBSTITUTE(G612,"$","")),0)</f>
        <v>156.73</v>
      </c>
      <c r="O612" s="4" t="n">
        <f aca="false">IF(A612="",0,IF(COUNTIF($A$2:A612,A612)&gt;1,1,0))</f>
        <v>0</v>
      </c>
      <c r="P612" s="4" t="n">
        <f aca="false">IF(AND(A612&lt;&gt;"",J612&lt;&gt;"",M612&gt;0,N612&gt;0,O612=0),1,0)</f>
        <v>1</v>
      </c>
      <c r="Q612" s="7" t="n">
        <f aca="false">IF(P612=1,M612*N612,0)</f>
        <v>156.73</v>
      </c>
    </row>
    <row r="613" customFormat="false" ht="15" hidden="false" customHeight="false" outlineLevel="0" collapsed="false">
      <c r="A613" s="4" t="n">
        <v>10626</v>
      </c>
      <c r="B613" s="4" t="s">
        <v>1419</v>
      </c>
      <c r="C613" s="4" t="s">
        <v>155</v>
      </c>
      <c r="D613" s="4" t="s">
        <v>171</v>
      </c>
      <c r="E613" s="4" t="s">
        <v>251</v>
      </c>
      <c r="F613" s="4" t="n">
        <v>3</v>
      </c>
      <c r="G613" s="4" t="s">
        <v>1481</v>
      </c>
      <c r="H613" s="4" t="s">
        <v>47</v>
      </c>
      <c r="I613" s="4" t="s">
        <v>795</v>
      </c>
      <c r="J613" s="6" t="n">
        <f aca="false">IFERROR(DATEVALUE(B613),"")</f>
        <v>45412</v>
      </c>
      <c r="K613" s="4" t="str">
        <f aca="false">IF(A613="","",PROPER(TRIM(C613)))</f>
        <v>South</v>
      </c>
      <c r="L613" s="4" t="str">
        <f aca="false">IF(A613="","",PROPER(TRIM(D613)))</f>
        <v>Camping Gear</v>
      </c>
      <c r="M613" s="4" t="n">
        <f aca="false">IFERROR(VALUE(F613),0)</f>
        <v>3</v>
      </c>
      <c r="N613" s="7" t="n">
        <f aca="false">IFERROR(VALUE(SUBSTITUTE(G613,"$","")),0)</f>
        <v>79.22</v>
      </c>
      <c r="O613" s="4" t="n">
        <f aca="false">IF(A613="",0,IF(COUNTIF($A$2:A613,A613)&gt;1,1,0))</f>
        <v>0</v>
      </c>
      <c r="P613" s="4" t="n">
        <f aca="false">IF(AND(A613&lt;&gt;"",J613&lt;&gt;"",M613&gt;0,N613&gt;0,O613=0),1,0)</f>
        <v>1</v>
      </c>
      <c r="Q613" s="7" t="n">
        <f aca="false">IF(P613=1,M613*N613,0)</f>
        <v>237.66</v>
      </c>
    </row>
    <row r="614" customFormat="false" ht="15" hidden="false" customHeight="false" outlineLevel="0" collapsed="false">
      <c r="A614" s="4" t="n">
        <v>10341</v>
      </c>
      <c r="B614" s="4" t="s">
        <v>1482</v>
      </c>
      <c r="C614" s="4" t="s">
        <v>110</v>
      </c>
      <c r="D614" s="4" t="s">
        <v>387</v>
      </c>
      <c r="E614" s="4" t="s">
        <v>251</v>
      </c>
      <c r="F614" s="4" t="n">
        <v>2</v>
      </c>
      <c r="G614" s="4" t="s">
        <v>1483</v>
      </c>
      <c r="H614" s="4" t="s">
        <v>47</v>
      </c>
      <c r="I614" s="4" t="s">
        <v>491</v>
      </c>
      <c r="J614" s="6" t="n">
        <f aca="false">IFERROR(DATEVALUE(B614),"")</f>
        <v>45516</v>
      </c>
      <c r="K614" s="4" t="str">
        <f aca="false">IF(A614="","",PROPER(TRIM(C614)))</f>
        <v>Midwest</v>
      </c>
      <c r="L614" s="4" t="str">
        <f aca="false">IF(A614="","",PROPER(TRIM(D614)))</f>
        <v>Camping Gear</v>
      </c>
      <c r="M614" s="4" t="n">
        <f aca="false">IFERROR(VALUE(F614),0)</f>
        <v>2</v>
      </c>
      <c r="N614" s="7" t="n">
        <f aca="false">IFERROR(VALUE(SUBSTITUTE(G614,"$","")),0)</f>
        <v>87.81</v>
      </c>
      <c r="O614" s="4" t="n">
        <f aca="false">IF(A614="",0,IF(COUNTIF($A$2:A614,A614)&gt;1,1,0))</f>
        <v>0</v>
      </c>
      <c r="P614" s="4" t="n">
        <f aca="false">IF(AND(A614&lt;&gt;"",J614&lt;&gt;"",M614&gt;0,N614&gt;0,O614=0),1,0)</f>
        <v>1</v>
      </c>
      <c r="Q614" s="7" t="n">
        <f aca="false">IF(P614=1,M614*N614,0)</f>
        <v>175.62</v>
      </c>
    </row>
    <row r="615" customFormat="false" ht="15" hidden="false" customHeight="false" outlineLevel="0" collapsed="false">
      <c r="A615" s="4" t="n">
        <v>10189</v>
      </c>
      <c r="B615" s="4" t="s">
        <v>1299</v>
      </c>
      <c r="C615" s="4" t="s">
        <v>183</v>
      </c>
      <c r="D615" s="4" t="s">
        <v>64</v>
      </c>
      <c r="E615" s="4" t="s">
        <v>65</v>
      </c>
      <c r="F615" s="4" t="n">
        <v>4</v>
      </c>
      <c r="G615" s="4" t="s">
        <v>1300</v>
      </c>
      <c r="H615" s="4" t="s">
        <v>47</v>
      </c>
      <c r="I615" s="4" t="s">
        <v>789</v>
      </c>
      <c r="J615" s="6" t="n">
        <f aca="false">IFERROR(DATEVALUE(B615),"")</f>
        <v>45627</v>
      </c>
      <c r="K615" s="4" t="str">
        <f aca="false">IF(A615="","",PROPER(TRIM(C615)))</f>
        <v>West</v>
      </c>
      <c r="L615" s="4" t="str">
        <f aca="false">IF(A615="","",PROPER(TRIM(D615)))</f>
        <v>Footwear</v>
      </c>
      <c r="M615" s="4" t="n">
        <f aca="false">IFERROR(VALUE(F615),0)</f>
        <v>4</v>
      </c>
      <c r="N615" s="7" t="n">
        <f aca="false">IFERROR(VALUE(SUBSTITUTE(G615,"$","")),0)</f>
        <v>50.86</v>
      </c>
      <c r="O615" s="4" t="n">
        <f aca="false">IF(A615="",0,IF(COUNTIF($A$2:A615,A615)&gt;1,1,0))</f>
        <v>1</v>
      </c>
      <c r="P615" s="4" t="n">
        <f aca="false">IF(AND(A615&lt;&gt;"",J615&lt;&gt;"",M615&gt;0,N615&gt;0,O615=0),1,0)</f>
        <v>0</v>
      </c>
      <c r="Q615" s="7" t="n">
        <f aca="false">IF(P615=1,M615*N615,0)</f>
        <v>0</v>
      </c>
    </row>
    <row r="616" customFormat="false" ht="15" hidden="false" customHeight="false" outlineLevel="0" collapsed="false">
      <c r="A616" s="4" t="n">
        <v>10563</v>
      </c>
      <c r="B616" s="4" t="s">
        <v>1484</v>
      </c>
      <c r="C616" s="4" t="s">
        <v>63</v>
      </c>
      <c r="D616" s="4" t="s">
        <v>179</v>
      </c>
      <c r="E616" s="4" t="s">
        <v>59</v>
      </c>
      <c r="F616" s="4" t="n">
        <v>5</v>
      </c>
      <c r="G616" s="4" t="s">
        <v>1485</v>
      </c>
      <c r="H616" s="4" t="s">
        <v>47</v>
      </c>
      <c r="I616" s="4" t="s">
        <v>401</v>
      </c>
      <c r="J616" s="6" t="n">
        <f aca="false">IFERROR(DATEVALUE(B616),"")</f>
        <v>45825</v>
      </c>
      <c r="K616" s="4" t="str">
        <f aca="false">IF(A616="","",PROPER(TRIM(C616)))</f>
        <v>Midwest</v>
      </c>
      <c r="L616" s="4" t="str">
        <f aca="false">IF(A616="","",PROPER(TRIM(D616)))</f>
        <v>Climbing Gear</v>
      </c>
      <c r="M616" s="4" t="n">
        <f aca="false">IFERROR(VALUE(F616),0)</f>
        <v>5</v>
      </c>
      <c r="N616" s="7" t="n">
        <f aca="false">IFERROR(VALUE(SUBSTITUTE(G616,"$","")),0)</f>
        <v>40.01</v>
      </c>
      <c r="O616" s="4" t="n">
        <f aca="false">IF(A616="",0,IF(COUNTIF($A$2:A616,A616)&gt;1,1,0))</f>
        <v>0</v>
      </c>
      <c r="P616" s="4" t="n">
        <f aca="false">IF(AND(A616&lt;&gt;"",J616&lt;&gt;"",M616&gt;0,N616&gt;0,O616=0),1,0)</f>
        <v>1</v>
      </c>
      <c r="Q616" s="7" t="n">
        <f aca="false">IF(P616=1,M616*N616,0)</f>
        <v>200.05</v>
      </c>
    </row>
    <row r="617" customFormat="false" ht="15" hidden="false" customHeight="false" outlineLevel="0" collapsed="false">
      <c r="A617" s="4" t="n">
        <v>10052</v>
      </c>
      <c r="B617" s="4" t="s">
        <v>1486</v>
      </c>
      <c r="C617" s="4" t="s">
        <v>57</v>
      </c>
      <c r="D617" s="4" t="s">
        <v>171</v>
      </c>
      <c r="E617" s="4" t="s">
        <v>251</v>
      </c>
      <c r="F617" s="4" t="n">
        <v>2</v>
      </c>
      <c r="G617" s="4" t="s">
        <v>1487</v>
      </c>
      <c r="H617" s="4" t="s">
        <v>47</v>
      </c>
      <c r="I617" s="4" t="s">
        <v>404</v>
      </c>
      <c r="J617" s="6" t="n">
        <f aca="false">IFERROR(DATEVALUE(B617),"")</f>
        <v>45591</v>
      </c>
      <c r="K617" s="4" t="str">
        <f aca="false">IF(A617="","",PROPER(TRIM(C617)))</f>
        <v>West</v>
      </c>
      <c r="L617" s="4" t="str">
        <f aca="false">IF(A617="","",PROPER(TRIM(D617)))</f>
        <v>Camping Gear</v>
      </c>
      <c r="M617" s="4" t="n">
        <f aca="false">IFERROR(VALUE(F617),0)</f>
        <v>2</v>
      </c>
      <c r="N617" s="7" t="n">
        <f aca="false">IFERROR(VALUE(SUBSTITUTE(G617,"$","")),0)</f>
        <v>75.95</v>
      </c>
      <c r="O617" s="4" t="n">
        <f aca="false">IF(A617="",0,IF(COUNTIF($A$2:A617,A617)&gt;1,1,0))</f>
        <v>0</v>
      </c>
      <c r="P617" s="4" t="n">
        <f aca="false">IF(AND(A617&lt;&gt;"",J617&lt;&gt;"",M617&gt;0,N617&gt;0,O617=0),1,0)</f>
        <v>1</v>
      </c>
      <c r="Q617" s="7" t="n">
        <f aca="false">IF(P617=1,M617*N617,0)</f>
        <v>151.9</v>
      </c>
    </row>
    <row r="618" customFormat="false" ht="15" hidden="false" customHeight="false" outlineLevel="0" collapsed="false">
      <c r="A618" s="4" t="n">
        <v>10033</v>
      </c>
      <c r="B618" s="4" t="s">
        <v>1488</v>
      </c>
      <c r="C618" s="4" t="s">
        <v>332</v>
      </c>
      <c r="D618" s="4" t="s">
        <v>81</v>
      </c>
      <c r="E618" s="4" t="s">
        <v>65</v>
      </c>
      <c r="F618" s="4" t="n">
        <v>5</v>
      </c>
      <c r="G618" s="4" t="s">
        <v>1084</v>
      </c>
      <c r="H618" s="4" t="s">
        <v>54</v>
      </c>
      <c r="I618" s="4" t="s">
        <v>1408</v>
      </c>
      <c r="J618" s="6" t="n">
        <f aca="false">IFERROR(DATEVALUE(B618),"")</f>
        <v>45530</v>
      </c>
      <c r="K618" s="4" t="str">
        <f aca="false">IF(A618="","",PROPER(TRIM(C618)))</f>
        <v>West</v>
      </c>
      <c r="L618" s="4" t="str">
        <f aca="false">IF(A618="","",PROPER(TRIM(D618)))</f>
        <v>Footwear</v>
      </c>
      <c r="M618" s="4" t="n">
        <f aca="false">IFERROR(VALUE(F618),0)</f>
        <v>5</v>
      </c>
      <c r="N618" s="7" t="n">
        <f aca="false">IFERROR(VALUE(SUBSTITUTE(G618,"$","")),0)</f>
        <v>53.67</v>
      </c>
      <c r="O618" s="4" t="n">
        <f aca="false">IF(A618="",0,IF(COUNTIF($A$2:A618,A618)&gt;1,1,0))</f>
        <v>0</v>
      </c>
      <c r="P618" s="4" t="n">
        <f aca="false">IF(AND(A618&lt;&gt;"",J618&lt;&gt;"",M618&gt;0,N618&gt;0,O618=0),1,0)</f>
        <v>1</v>
      </c>
      <c r="Q618" s="7" t="n">
        <f aca="false">IF(P618=1,M618*N618,0)</f>
        <v>268.35</v>
      </c>
    </row>
    <row r="619" customFormat="false" ht="15" hidden="false" customHeight="false" outlineLevel="0" collapsed="false">
      <c r="A619" s="4" t="n">
        <v>10103</v>
      </c>
      <c r="B619" s="4" t="s">
        <v>1489</v>
      </c>
      <c r="C619" s="4" t="s">
        <v>155</v>
      </c>
      <c r="D619" s="4" t="s">
        <v>164</v>
      </c>
      <c r="E619" s="4" t="s">
        <v>243</v>
      </c>
      <c r="F619" s="4" t="n">
        <v>1</v>
      </c>
      <c r="G619" s="4" t="s">
        <v>1490</v>
      </c>
      <c r="H619" s="4" t="s">
        <v>54</v>
      </c>
      <c r="I619" s="4" t="s">
        <v>1092</v>
      </c>
      <c r="J619" s="6" t="n">
        <f aca="false">IFERROR(DATEVALUE(B619),"")</f>
        <v>45551</v>
      </c>
      <c r="K619" s="4" t="str">
        <f aca="false">IF(A619="","",PROPER(TRIM(C619)))</f>
        <v>South</v>
      </c>
      <c r="L619" s="4" t="str">
        <f aca="false">IF(A619="","",PROPER(TRIM(D619)))</f>
        <v>Apparel</v>
      </c>
      <c r="M619" s="4" t="n">
        <f aca="false">IFERROR(VALUE(F619),0)</f>
        <v>1</v>
      </c>
      <c r="N619" s="7" t="n">
        <f aca="false">IFERROR(VALUE(SUBSTITUTE(G619,"$","")),0)</f>
        <v>80.69</v>
      </c>
      <c r="O619" s="4" t="n">
        <f aca="false">IF(A619="",0,IF(COUNTIF($A$2:A619,A619)&gt;1,1,0))</f>
        <v>0</v>
      </c>
      <c r="P619" s="4" t="n">
        <f aca="false">IF(AND(A619&lt;&gt;"",J619&lt;&gt;"",M619&gt;0,N619&gt;0,O619=0),1,0)</f>
        <v>1</v>
      </c>
      <c r="Q619" s="7" t="n">
        <f aca="false">IF(P619=1,M619*N619,0)</f>
        <v>80.69</v>
      </c>
    </row>
    <row r="620" customFormat="false" ht="15" hidden="false" customHeight="false" outlineLevel="0" collapsed="false">
      <c r="A620" s="4" t="n">
        <v>10504</v>
      </c>
      <c r="B620" s="4" t="s">
        <v>1491</v>
      </c>
      <c r="C620" s="4" t="s">
        <v>69</v>
      </c>
      <c r="D620" s="4" t="s">
        <v>58</v>
      </c>
      <c r="E620" s="4" t="s">
        <v>94</v>
      </c>
      <c r="F620" s="4" t="n">
        <v>1</v>
      </c>
      <c r="G620" s="4" t="s">
        <v>1492</v>
      </c>
      <c r="H620" s="4" t="s">
        <v>47</v>
      </c>
      <c r="I620" s="4" t="s">
        <v>205</v>
      </c>
      <c r="J620" s="6" t="n">
        <f aca="false">IFERROR(DATEVALUE(B620),"")</f>
        <v>45386</v>
      </c>
      <c r="K620" s="4" t="str">
        <f aca="false">IF(A620="","",PROPER(TRIM(C620)))</f>
        <v>East</v>
      </c>
      <c r="L620" s="4" t="str">
        <f aca="false">IF(A620="","",PROPER(TRIM(D620)))</f>
        <v>Climbing Gear</v>
      </c>
      <c r="M620" s="4" t="n">
        <f aca="false">IFERROR(VALUE(F620),0)</f>
        <v>1</v>
      </c>
      <c r="N620" s="7" t="n">
        <f aca="false">IFERROR(VALUE(SUBSTITUTE(G620,"$","")),0)</f>
        <v>144.11</v>
      </c>
      <c r="O620" s="4" t="n">
        <f aca="false">IF(A620="",0,IF(COUNTIF($A$2:A620,A620)&gt;1,1,0))</f>
        <v>0</v>
      </c>
      <c r="P620" s="4" t="n">
        <f aca="false">IF(AND(A620&lt;&gt;"",J620&lt;&gt;"",M620&gt;0,N620&gt;0,O620=0),1,0)</f>
        <v>1</v>
      </c>
      <c r="Q620" s="7" t="n">
        <f aca="false">IF(P620=1,M620*N620,0)</f>
        <v>144.11</v>
      </c>
    </row>
    <row r="621" customFormat="false" ht="15" hidden="false" customHeight="false" outlineLevel="0" collapsed="false">
      <c r="A621" s="4" t="n">
        <v>10762</v>
      </c>
      <c r="B621" s="4" t="s">
        <v>1493</v>
      </c>
      <c r="C621" s="4" t="s">
        <v>140</v>
      </c>
      <c r="D621" s="4" t="s">
        <v>129</v>
      </c>
      <c r="E621" s="4" t="s">
        <v>94</v>
      </c>
      <c r="F621" s="4" t="n">
        <v>1</v>
      </c>
      <c r="G621" s="4" t="s">
        <v>1494</v>
      </c>
      <c r="H621" s="4" t="s">
        <v>73</v>
      </c>
      <c r="I621" s="4" t="s">
        <v>647</v>
      </c>
      <c r="J621" s="6" t="n">
        <f aca="false">IFERROR(DATEVALUE(B621),"")</f>
        <v>45448</v>
      </c>
      <c r="K621" s="4" t="str">
        <f aca="false">IF(A621="","",PROPER(TRIM(C621)))</f>
        <v>South</v>
      </c>
      <c r="L621" s="4" t="str">
        <f aca="false">IF(A621="","",PROPER(TRIM(D621)))</f>
        <v>Climbing Gear</v>
      </c>
      <c r="M621" s="4" t="n">
        <f aca="false">IFERROR(VALUE(F621),0)</f>
        <v>1</v>
      </c>
      <c r="N621" s="7" t="n">
        <f aca="false">IFERROR(VALUE(SUBSTITUTE(G621,"$","")),0)</f>
        <v>153</v>
      </c>
      <c r="O621" s="4" t="n">
        <f aca="false">IF(A621="",0,IF(COUNTIF($A$2:A621,A621)&gt;1,1,0))</f>
        <v>0</v>
      </c>
      <c r="P621" s="4" t="n">
        <f aca="false">IF(AND(A621&lt;&gt;"",J621&lt;&gt;"",M621&gt;0,N621&gt;0,O621=0),1,0)</f>
        <v>1</v>
      </c>
      <c r="Q621" s="7" t="n">
        <f aca="false">IF(P621=1,M621*N621,0)</f>
        <v>153</v>
      </c>
    </row>
    <row r="622" customFormat="false" ht="15" hidden="false" customHeight="false" outlineLevel="0" collapsed="false">
      <c r="A622" s="4" t="n">
        <v>10743</v>
      </c>
      <c r="B622" s="4" t="s">
        <v>1344</v>
      </c>
      <c r="C622" s="4" t="s">
        <v>43</v>
      </c>
      <c r="D622" s="4" t="s">
        <v>156</v>
      </c>
      <c r="E622" s="4" t="s">
        <v>125</v>
      </c>
      <c r="F622" s="4" t="n">
        <v>2</v>
      </c>
      <c r="G622" s="4" t="s">
        <v>1495</v>
      </c>
      <c r="H622" s="4" t="s">
        <v>73</v>
      </c>
      <c r="I622" s="4" t="s">
        <v>1224</v>
      </c>
      <c r="J622" s="6" t="n">
        <f aca="false">IFERROR(DATEVALUE(B622),"")</f>
        <v>45603</v>
      </c>
      <c r="K622" s="4" t="str">
        <f aca="false">IF(A622="","",PROPER(TRIM(C622)))</f>
        <v>South</v>
      </c>
      <c r="L622" s="4" t="str">
        <f aca="false">IF(A622="","",PROPER(TRIM(D622)))</f>
        <v>Climbing Gear</v>
      </c>
      <c r="M622" s="4" t="n">
        <f aca="false">IFERROR(VALUE(F622),0)</f>
        <v>2</v>
      </c>
      <c r="N622" s="7" t="n">
        <f aca="false">IFERROR(VALUE(SUBSTITUTE(G622,"$","")),0)</f>
        <v>105.68</v>
      </c>
      <c r="O622" s="4" t="n">
        <f aca="false">IF(A622="",0,IF(COUNTIF($A$2:A622,A622)&gt;1,1,0))</f>
        <v>0</v>
      </c>
      <c r="P622" s="4" t="n">
        <f aca="false">IF(AND(A622&lt;&gt;"",J622&lt;&gt;"",M622&gt;0,N622&gt;0,O622=0),1,0)</f>
        <v>1</v>
      </c>
      <c r="Q622" s="7" t="n">
        <f aca="false">IF(P622=1,M622*N622,0)</f>
        <v>211.36</v>
      </c>
    </row>
    <row r="623" customFormat="false" ht="15" hidden="false" customHeight="false" outlineLevel="0" collapsed="false">
      <c r="A623" s="4" t="n">
        <v>10403</v>
      </c>
      <c r="B623" s="4" t="s">
        <v>1496</v>
      </c>
      <c r="C623" s="4" t="s">
        <v>224</v>
      </c>
      <c r="D623" s="4" t="s">
        <v>81</v>
      </c>
      <c r="E623" s="4" t="s">
        <v>77</v>
      </c>
      <c r="F623" s="4" t="n">
        <v>1</v>
      </c>
      <c r="G623" s="4" t="s">
        <v>1497</v>
      </c>
      <c r="H623" s="4" t="s">
        <v>47</v>
      </c>
      <c r="I623" s="4" t="s">
        <v>1498</v>
      </c>
      <c r="J623" s="6" t="n">
        <f aca="false">IFERROR(DATEVALUE(B623),"")</f>
        <v>45343</v>
      </c>
      <c r="K623" s="4" t="str">
        <f aca="false">IF(A623="","",PROPER(TRIM(C623)))</f>
        <v>East</v>
      </c>
      <c r="L623" s="4" t="str">
        <f aca="false">IF(A623="","",PROPER(TRIM(D623)))</f>
        <v>Footwear</v>
      </c>
      <c r="M623" s="4" t="n">
        <f aca="false">IFERROR(VALUE(F623),0)</f>
        <v>1</v>
      </c>
      <c r="N623" s="7" t="n">
        <f aca="false">IFERROR(VALUE(SUBSTITUTE(G623,"$","")),0)</f>
        <v>144.25</v>
      </c>
      <c r="O623" s="4" t="n">
        <f aca="false">IF(A623="",0,IF(COUNTIF($A$2:A623,A623)&gt;1,1,0))</f>
        <v>0</v>
      </c>
      <c r="P623" s="4" t="n">
        <f aca="false">IF(AND(A623&lt;&gt;"",J623&lt;&gt;"",M623&gt;0,N623&gt;0,O623=0),1,0)</f>
        <v>1</v>
      </c>
      <c r="Q623" s="7" t="n">
        <f aca="false">IF(P623=1,M623*N623,0)</f>
        <v>144.25</v>
      </c>
    </row>
    <row r="624" customFormat="false" ht="15" hidden="false" customHeight="false" outlineLevel="0" collapsed="false">
      <c r="A624" s="4" t="n">
        <v>10741</v>
      </c>
      <c r="B624" s="4" t="s">
        <v>1499</v>
      </c>
      <c r="C624" s="4" t="s">
        <v>120</v>
      </c>
      <c r="D624" s="4" t="s">
        <v>51</v>
      </c>
      <c r="E624" s="4" t="s">
        <v>210</v>
      </c>
      <c r="F624" s="4" t="n">
        <v>1</v>
      </c>
      <c r="G624" s="4" t="s">
        <v>1500</v>
      </c>
      <c r="H624" s="4" t="s">
        <v>47</v>
      </c>
      <c r="I624" s="4" t="s">
        <v>560</v>
      </c>
      <c r="J624" s="6" t="n">
        <f aca="false">IFERROR(DATEVALUE(B624),"")</f>
        <v>45510</v>
      </c>
      <c r="K624" s="4" t="str">
        <f aca="false">IF(A624="","",PROPER(TRIM(C624)))</f>
        <v>East</v>
      </c>
      <c r="L624" s="4" t="str">
        <f aca="false">IF(A624="","",PROPER(TRIM(D624)))</f>
        <v>Accessories</v>
      </c>
      <c r="M624" s="4" t="n">
        <f aca="false">IFERROR(VALUE(F624),0)</f>
        <v>1</v>
      </c>
      <c r="N624" s="7" t="n">
        <f aca="false">IFERROR(VALUE(SUBSTITUTE(G624,"$","")),0)</f>
        <v>32.33</v>
      </c>
      <c r="O624" s="4" t="n">
        <f aca="false">IF(A624="",0,IF(COUNTIF($A$2:A624,A624)&gt;1,1,0))</f>
        <v>0</v>
      </c>
      <c r="P624" s="4" t="n">
        <f aca="false">IF(AND(A624&lt;&gt;"",J624&lt;&gt;"",M624&gt;0,N624&gt;0,O624=0),1,0)</f>
        <v>1</v>
      </c>
      <c r="Q624" s="7" t="n">
        <f aca="false">IF(P624=1,M624*N624,0)</f>
        <v>32.33</v>
      </c>
    </row>
    <row r="625" customFormat="false" ht="15" hidden="false" customHeight="false" outlineLevel="0" collapsed="false">
      <c r="A625" s="4" t="n">
        <v>10031</v>
      </c>
      <c r="B625" s="4" t="s">
        <v>1501</v>
      </c>
      <c r="C625" s="4" t="s">
        <v>149</v>
      </c>
      <c r="D625" s="4" t="s">
        <v>230</v>
      </c>
      <c r="E625" s="4" t="s">
        <v>243</v>
      </c>
      <c r="F625" s="4" t="n">
        <v>1</v>
      </c>
      <c r="G625" s="4" t="s">
        <v>1502</v>
      </c>
      <c r="H625" s="4" t="s">
        <v>73</v>
      </c>
      <c r="I625" s="4" t="s">
        <v>74</v>
      </c>
      <c r="J625" s="6" t="n">
        <f aca="false">IFERROR(DATEVALUE(B625),"")</f>
        <v>45481</v>
      </c>
      <c r="K625" s="4" t="str">
        <f aca="false">IF(A625="","",PROPER(TRIM(C625)))</f>
        <v>East</v>
      </c>
      <c r="L625" s="4" t="str">
        <f aca="false">IF(A625="","",PROPER(TRIM(D625)))</f>
        <v>Apparel</v>
      </c>
      <c r="M625" s="4" t="n">
        <f aca="false">IFERROR(VALUE(F625),0)</f>
        <v>1</v>
      </c>
      <c r="N625" s="7" t="n">
        <f aca="false">IFERROR(VALUE(SUBSTITUTE(G625,"$","")),0)</f>
        <v>68.34</v>
      </c>
      <c r="O625" s="4" t="n">
        <f aca="false">IF(A625="",0,IF(COUNTIF($A$2:A625,A625)&gt;1,1,0))</f>
        <v>0</v>
      </c>
      <c r="P625" s="4" t="n">
        <f aca="false">IF(AND(A625&lt;&gt;"",J625&lt;&gt;"",M625&gt;0,N625&gt;0,O625=0),1,0)</f>
        <v>1</v>
      </c>
      <c r="Q625" s="7" t="n">
        <f aca="false">IF(P625=1,M625*N625,0)</f>
        <v>68.34</v>
      </c>
    </row>
    <row r="626" customFormat="false" ht="15" hidden="false" customHeight="false" outlineLevel="0" collapsed="false">
      <c r="A626" s="4" t="n">
        <v>10476</v>
      </c>
      <c r="B626" s="4" t="s">
        <v>1458</v>
      </c>
      <c r="C626" s="4" t="s">
        <v>110</v>
      </c>
      <c r="D626" s="4" t="s">
        <v>217</v>
      </c>
      <c r="E626" s="4" t="s">
        <v>243</v>
      </c>
      <c r="F626" s="4" t="n">
        <v>1</v>
      </c>
      <c r="G626" s="4" t="s">
        <v>1503</v>
      </c>
      <c r="H626" s="4" t="s">
        <v>54</v>
      </c>
      <c r="I626" s="4" t="s">
        <v>1504</v>
      </c>
      <c r="J626" s="6" t="n">
        <f aca="false">IFERROR(DATEVALUE(B626),"")</f>
        <v>45358</v>
      </c>
      <c r="K626" s="4" t="str">
        <f aca="false">IF(A626="","",PROPER(TRIM(C626)))</f>
        <v>Midwest</v>
      </c>
      <c r="L626" s="4" t="str">
        <f aca="false">IF(A626="","",PROPER(TRIM(D626)))</f>
        <v>Apparel</v>
      </c>
      <c r="M626" s="4" t="n">
        <f aca="false">IFERROR(VALUE(F626),0)</f>
        <v>1</v>
      </c>
      <c r="N626" s="7" t="n">
        <f aca="false">IFERROR(VALUE(SUBSTITUTE(G626,"$","")),0)</f>
        <v>85.62</v>
      </c>
      <c r="O626" s="4" t="n">
        <f aca="false">IF(A626="",0,IF(COUNTIF($A$2:A626,A626)&gt;1,1,0))</f>
        <v>0</v>
      </c>
      <c r="P626" s="4" t="n">
        <f aca="false">IF(AND(A626&lt;&gt;"",J626&lt;&gt;"",M626&gt;0,N626&gt;0,O626=0),1,0)</f>
        <v>1</v>
      </c>
      <c r="Q626" s="7" t="n">
        <f aca="false">IF(P626=1,M626*N626,0)</f>
        <v>85.62</v>
      </c>
    </row>
    <row r="627" customFormat="false" ht="15" hidden="false" customHeight="false" outlineLevel="0" collapsed="false">
      <c r="A627" s="4" t="n">
        <v>10315</v>
      </c>
      <c r="B627" s="4" t="s">
        <v>852</v>
      </c>
      <c r="C627" s="4" t="s">
        <v>315</v>
      </c>
      <c r="D627" s="4" t="s">
        <v>333</v>
      </c>
      <c r="E627" s="4" t="s">
        <v>45</v>
      </c>
      <c r="F627" s="4" t="n">
        <v>1</v>
      </c>
      <c r="G627" s="4" t="s">
        <v>1505</v>
      </c>
      <c r="H627" s="4" t="s">
        <v>47</v>
      </c>
      <c r="I627" s="4" t="s">
        <v>1371</v>
      </c>
      <c r="J627" s="6" t="n">
        <f aca="false">IFERROR(DATEVALUE(B627),"")</f>
        <v>45775</v>
      </c>
      <c r="K627" s="4" t="str">
        <f aca="false">IF(A627="","",PROPER(TRIM(C627)))</f>
        <v>South</v>
      </c>
      <c r="L627" s="4" t="str">
        <f aca="false">IF(A627="","",PROPER(TRIM(D627)))</f>
        <v>Accessories</v>
      </c>
      <c r="M627" s="4" t="n">
        <f aca="false">IFERROR(VALUE(F627),0)</f>
        <v>1</v>
      </c>
      <c r="N627" s="7" t="n">
        <f aca="false">IFERROR(VALUE(SUBSTITUTE(G627,"$","")),0)</f>
        <v>55.3</v>
      </c>
      <c r="O627" s="4" t="n">
        <f aca="false">IF(A627="",0,IF(COUNTIF($A$2:A627,A627)&gt;1,1,0))</f>
        <v>0</v>
      </c>
      <c r="P627" s="4" t="n">
        <f aca="false">IF(AND(A627&lt;&gt;"",J627&lt;&gt;"",M627&gt;0,N627&gt;0,O627=0),1,0)</f>
        <v>1</v>
      </c>
      <c r="Q627" s="7" t="n">
        <f aca="false">IF(P627=1,M627*N627,0)</f>
        <v>55.3</v>
      </c>
    </row>
    <row r="628" customFormat="false" ht="15" hidden="false" customHeight="false" outlineLevel="0" collapsed="false">
      <c r="A628" s="4" t="n">
        <v>10350</v>
      </c>
      <c r="B628" s="4" t="s">
        <v>1506</v>
      </c>
      <c r="C628" s="4" t="s">
        <v>183</v>
      </c>
      <c r="D628" s="4" t="s">
        <v>387</v>
      </c>
      <c r="E628" s="4" t="s">
        <v>251</v>
      </c>
      <c r="F628" s="4" t="n">
        <v>2</v>
      </c>
      <c r="G628" s="4" t="s">
        <v>1386</v>
      </c>
      <c r="H628" s="4" t="s">
        <v>54</v>
      </c>
      <c r="I628" s="4" t="s">
        <v>1507</v>
      </c>
      <c r="J628" s="6" t="n">
        <f aca="false">IFERROR(DATEVALUE(B628),"")</f>
        <v>45508</v>
      </c>
      <c r="K628" s="4" t="str">
        <f aca="false">IF(A628="","",PROPER(TRIM(C628)))</f>
        <v>West</v>
      </c>
      <c r="L628" s="4" t="str">
        <f aca="false">IF(A628="","",PROPER(TRIM(D628)))</f>
        <v>Camping Gear</v>
      </c>
      <c r="M628" s="4" t="n">
        <f aca="false">IFERROR(VALUE(F628),0)</f>
        <v>2</v>
      </c>
      <c r="N628" s="7" t="n">
        <f aca="false">IFERROR(VALUE(SUBSTITUTE(G628,"$","")),0)</f>
        <v>75.81</v>
      </c>
      <c r="O628" s="4" t="n">
        <f aca="false">IF(A628="",0,IF(COUNTIF($A$2:A628,A628)&gt;1,1,0))</f>
        <v>0</v>
      </c>
      <c r="P628" s="4" t="n">
        <f aca="false">IF(AND(A628&lt;&gt;"",J628&lt;&gt;"",M628&gt;0,N628&gt;0,O628=0),1,0)</f>
        <v>1</v>
      </c>
      <c r="Q628" s="7" t="n">
        <f aca="false">IF(P628=1,M628*N628,0)</f>
        <v>151.62</v>
      </c>
    </row>
    <row r="629" customFormat="false" ht="15" hidden="false" customHeight="false" outlineLevel="0" collapsed="false">
      <c r="A629" s="4" t="n">
        <v>10773</v>
      </c>
      <c r="B629" s="4" t="s">
        <v>1508</v>
      </c>
      <c r="C629" s="4" t="s">
        <v>93</v>
      </c>
      <c r="D629" s="4" t="s">
        <v>333</v>
      </c>
      <c r="E629" s="4" t="s">
        <v>160</v>
      </c>
      <c r="F629" s="4" t="n">
        <v>5</v>
      </c>
      <c r="G629" s="4" t="s">
        <v>1509</v>
      </c>
      <c r="H629" s="4" t="s">
        <v>54</v>
      </c>
      <c r="I629" s="4" t="s">
        <v>190</v>
      </c>
      <c r="J629" s="6" t="n">
        <f aca="false">IFERROR(DATEVALUE(B629),"")</f>
        <v>45527</v>
      </c>
      <c r="K629" s="4" t="str">
        <f aca="false">IF(A629="","",PROPER(TRIM(C629)))</f>
        <v>West</v>
      </c>
      <c r="L629" s="4" t="str">
        <f aca="false">IF(A629="","",PROPER(TRIM(D629)))</f>
        <v>Accessories</v>
      </c>
      <c r="M629" s="4" t="n">
        <f aca="false">IFERROR(VALUE(F629),0)</f>
        <v>5</v>
      </c>
      <c r="N629" s="7" t="n">
        <f aca="false">IFERROR(VALUE(SUBSTITUTE(G629,"$","")),0)</f>
        <v>22.52</v>
      </c>
      <c r="O629" s="4" t="n">
        <f aca="false">IF(A629="",0,IF(COUNTIF($A$2:A629,A629)&gt;1,1,0))</f>
        <v>0</v>
      </c>
      <c r="P629" s="4" t="n">
        <f aca="false">IF(AND(A629&lt;&gt;"",J629&lt;&gt;"",M629&gt;0,N629&gt;0,O629=0),1,0)</f>
        <v>1</v>
      </c>
      <c r="Q629" s="7" t="n">
        <f aca="false">IF(P629=1,M629*N629,0)</f>
        <v>112.6</v>
      </c>
    </row>
    <row r="630" customFormat="false" ht="15" hidden="false" customHeight="false" outlineLevel="0" collapsed="false">
      <c r="A630" s="4" t="n">
        <v>10538</v>
      </c>
      <c r="B630" s="4" t="s">
        <v>1510</v>
      </c>
      <c r="C630" s="4" t="s">
        <v>69</v>
      </c>
      <c r="D630" s="4" t="s">
        <v>602</v>
      </c>
      <c r="E630" s="4" t="s">
        <v>59</v>
      </c>
      <c r="F630" s="4" t="n">
        <v>2</v>
      </c>
      <c r="G630" s="4" t="s">
        <v>1511</v>
      </c>
      <c r="H630" s="4" t="s">
        <v>54</v>
      </c>
      <c r="I630" s="4" t="s">
        <v>688</v>
      </c>
      <c r="J630" s="6" t="n">
        <f aca="false">IFERROR(DATEVALUE(B630),"")</f>
        <v>45327</v>
      </c>
      <c r="K630" s="4" t="str">
        <f aca="false">IF(A630="","",PROPER(TRIM(C630)))</f>
        <v>East</v>
      </c>
      <c r="L630" s="4" t="str">
        <f aca="false">IF(A630="","",PROPER(TRIM(D630)))</f>
        <v>Climbing Gear</v>
      </c>
      <c r="M630" s="4" t="n">
        <f aca="false">IFERROR(VALUE(F630),0)</f>
        <v>2</v>
      </c>
      <c r="N630" s="7" t="n">
        <f aca="false">IFERROR(VALUE(SUBSTITUTE(G630,"$","")),0)</f>
        <v>36.97</v>
      </c>
      <c r="O630" s="4" t="n">
        <f aca="false">IF(A630="",0,IF(COUNTIF($A$2:A630,A630)&gt;1,1,0))</f>
        <v>0</v>
      </c>
      <c r="P630" s="4" t="n">
        <f aca="false">IF(AND(A630&lt;&gt;"",J630&lt;&gt;"",M630&gt;0,N630&gt;0,O630=0),1,0)</f>
        <v>1</v>
      </c>
      <c r="Q630" s="7" t="n">
        <f aca="false">IF(P630=1,M630*N630,0)</f>
        <v>73.94</v>
      </c>
    </row>
    <row r="631" customFormat="false" ht="15" hidden="false" customHeight="false" outlineLevel="0" collapsed="false">
      <c r="A631" s="4" t="n">
        <v>10664</v>
      </c>
      <c r="B631" s="4" t="s">
        <v>1512</v>
      </c>
      <c r="C631" s="4" t="s">
        <v>140</v>
      </c>
      <c r="D631" s="4" t="s">
        <v>156</v>
      </c>
      <c r="E631" s="4" t="s">
        <v>125</v>
      </c>
      <c r="F631" s="4" t="n">
        <v>1</v>
      </c>
      <c r="G631" s="4" t="s">
        <v>1513</v>
      </c>
      <c r="H631" s="4" t="s">
        <v>54</v>
      </c>
      <c r="I631" s="4" t="s">
        <v>443</v>
      </c>
      <c r="J631" s="6" t="n">
        <f aca="false">IFERROR(DATEVALUE(B631),"")</f>
        <v>45550</v>
      </c>
      <c r="K631" s="4" t="str">
        <f aca="false">IF(A631="","",PROPER(TRIM(C631)))</f>
        <v>South</v>
      </c>
      <c r="L631" s="4" t="str">
        <f aca="false">IF(A631="","",PROPER(TRIM(D631)))</f>
        <v>Climbing Gear</v>
      </c>
      <c r="M631" s="4" t="n">
        <f aca="false">IFERROR(VALUE(F631),0)</f>
        <v>1</v>
      </c>
      <c r="N631" s="7" t="n">
        <f aca="false">IFERROR(VALUE(SUBSTITUTE(G631,"$","")),0)</f>
        <v>104.93</v>
      </c>
      <c r="O631" s="4" t="n">
        <f aca="false">IF(A631="",0,IF(COUNTIF($A$2:A631,A631)&gt;1,1,0))</f>
        <v>0</v>
      </c>
      <c r="P631" s="4" t="n">
        <f aca="false">IF(AND(A631&lt;&gt;"",J631&lt;&gt;"",M631&gt;0,N631&gt;0,O631=0),1,0)</f>
        <v>1</v>
      </c>
      <c r="Q631" s="7" t="n">
        <f aca="false">IF(P631=1,M631*N631,0)</f>
        <v>104.93</v>
      </c>
    </row>
    <row r="632" customFormat="false" ht="15" hidden="false" customHeight="false" outlineLevel="0" collapsed="false">
      <c r="A632" s="4" t="n">
        <v>10574</v>
      </c>
      <c r="B632" s="4" t="s">
        <v>1413</v>
      </c>
      <c r="C632" s="4" t="s">
        <v>178</v>
      </c>
      <c r="D632" s="4" t="s">
        <v>164</v>
      </c>
      <c r="E632" s="4" t="s">
        <v>142</v>
      </c>
      <c r="F632" s="4" t="n">
        <v>2</v>
      </c>
      <c r="G632" s="4" t="s">
        <v>1514</v>
      </c>
      <c r="H632" s="4" t="s">
        <v>54</v>
      </c>
      <c r="I632" s="4" t="s">
        <v>158</v>
      </c>
      <c r="J632" s="6" t="n">
        <f aca="false">IFERROR(DATEVALUE(B632),"")</f>
        <v>45469</v>
      </c>
      <c r="K632" s="4" t="str">
        <f aca="false">IF(A632="","",PROPER(TRIM(C632)))</f>
        <v>South</v>
      </c>
      <c r="L632" s="4" t="str">
        <f aca="false">IF(A632="","",PROPER(TRIM(D632)))</f>
        <v>Apparel</v>
      </c>
      <c r="M632" s="4" t="n">
        <f aca="false">IFERROR(VALUE(F632),0)</f>
        <v>2</v>
      </c>
      <c r="N632" s="7" t="n">
        <f aca="false">IFERROR(VALUE(SUBSTITUTE(G632,"$","")),0)</f>
        <v>193.56</v>
      </c>
      <c r="O632" s="4" t="n">
        <f aca="false">IF(A632="",0,IF(COUNTIF($A$2:A632,A632)&gt;1,1,0))</f>
        <v>0</v>
      </c>
      <c r="P632" s="4" t="n">
        <f aca="false">IF(AND(A632&lt;&gt;"",J632&lt;&gt;"",M632&gt;0,N632&gt;0,O632=0),1,0)</f>
        <v>1</v>
      </c>
      <c r="Q632" s="7" t="n">
        <f aca="false">IF(P632=1,M632*N632,0)</f>
        <v>387.12</v>
      </c>
    </row>
    <row r="633" customFormat="false" ht="15" hidden="false" customHeight="false" outlineLevel="0" collapsed="false">
      <c r="A633" s="4" t="n">
        <v>10325</v>
      </c>
      <c r="B633" s="4" t="s">
        <v>1515</v>
      </c>
      <c r="C633" s="4" t="s">
        <v>178</v>
      </c>
      <c r="D633" s="4" t="s">
        <v>387</v>
      </c>
      <c r="E633" s="4" t="s">
        <v>71</v>
      </c>
      <c r="F633" s="4" t="n">
        <v>1</v>
      </c>
      <c r="G633" s="4" t="s">
        <v>1516</v>
      </c>
      <c r="H633" s="4" t="s">
        <v>73</v>
      </c>
      <c r="I633" s="4" t="s">
        <v>1517</v>
      </c>
      <c r="J633" s="6" t="n">
        <f aca="false">IFERROR(DATEVALUE(B633),"")</f>
        <v>45653</v>
      </c>
      <c r="K633" s="4" t="str">
        <f aca="false">IF(A633="","",PROPER(TRIM(C633)))</f>
        <v>South</v>
      </c>
      <c r="L633" s="4" t="str">
        <f aca="false">IF(A633="","",PROPER(TRIM(D633)))</f>
        <v>Camping Gear</v>
      </c>
      <c r="M633" s="4" t="n">
        <f aca="false">IFERROR(VALUE(F633),0)</f>
        <v>1</v>
      </c>
      <c r="N633" s="7" t="n">
        <f aca="false">IFERROR(VALUE(SUBSTITUTE(G633,"$","")),0)</f>
        <v>63.39</v>
      </c>
      <c r="O633" s="4" t="n">
        <f aca="false">IF(A633="",0,IF(COUNTIF($A$2:A633,A633)&gt;1,1,0))</f>
        <v>0</v>
      </c>
      <c r="P633" s="4" t="n">
        <f aca="false">IF(AND(A633&lt;&gt;"",J633&lt;&gt;"",M633&gt;0,N633&gt;0,O633=0),1,0)</f>
        <v>1</v>
      </c>
      <c r="Q633" s="7" t="n">
        <f aca="false">IF(P633=1,M633*N633,0)</f>
        <v>63.39</v>
      </c>
    </row>
    <row r="634" customFormat="false" ht="15" hidden="false" customHeight="false" outlineLevel="0" collapsed="false">
      <c r="A634" s="4" t="n">
        <v>10769</v>
      </c>
      <c r="B634" s="4" t="s">
        <v>1049</v>
      </c>
      <c r="C634" s="4" t="s">
        <v>57</v>
      </c>
      <c r="D634" s="4" t="s">
        <v>81</v>
      </c>
      <c r="E634" s="4" t="s">
        <v>77</v>
      </c>
      <c r="F634" s="4" t="n">
        <v>5</v>
      </c>
      <c r="G634" s="4" t="s">
        <v>1518</v>
      </c>
      <c r="H634" s="4" t="s">
        <v>47</v>
      </c>
      <c r="I634" s="4" t="s">
        <v>523</v>
      </c>
      <c r="J634" s="6" t="n">
        <f aca="false">IFERROR(DATEVALUE(B634),"")</f>
        <v>45439</v>
      </c>
      <c r="K634" s="4" t="str">
        <f aca="false">IF(A634="","",PROPER(TRIM(C634)))</f>
        <v>West</v>
      </c>
      <c r="L634" s="4" t="str">
        <f aca="false">IF(A634="","",PROPER(TRIM(D634)))</f>
        <v>Footwear</v>
      </c>
      <c r="M634" s="4" t="n">
        <f aca="false">IFERROR(VALUE(F634),0)</f>
        <v>5</v>
      </c>
      <c r="N634" s="7" t="n">
        <f aca="false">IFERROR(VALUE(SUBSTITUTE(G634,"$","")),0)</f>
        <v>129.26</v>
      </c>
      <c r="O634" s="4" t="n">
        <f aca="false">IF(A634="",0,IF(COUNTIF($A$2:A634,A634)&gt;1,1,0))</f>
        <v>0</v>
      </c>
      <c r="P634" s="4" t="n">
        <f aca="false">IF(AND(A634&lt;&gt;"",J634&lt;&gt;"",M634&gt;0,N634&gt;0,O634=0),1,0)</f>
        <v>1</v>
      </c>
      <c r="Q634" s="7" t="n">
        <f aca="false">IF(P634=1,M634*N634,0)</f>
        <v>646.3</v>
      </c>
    </row>
    <row r="635" customFormat="false" ht="15" hidden="false" customHeight="false" outlineLevel="0" collapsed="false">
      <c r="A635" s="4" t="n">
        <v>10263</v>
      </c>
      <c r="B635" s="4" t="s">
        <v>1519</v>
      </c>
      <c r="C635" s="4" t="s">
        <v>224</v>
      </c>
      <c r="D635" s="4" t="s">
        <v>217</v>
      </c>
      <c r="E635" s="4" t="s">
        <v>116</v>
      </c>
      <c r="F635" s="4" t="n">
        <v>1</v>
      </c>
      <c r="G635" s="4" t="s">
        <v>1520</v>
      </c>
      <c r="H635" s="4" t="s">
        <v>47</v>
      </c>
      <c r="I635" s="4" t="s">
        <v>1521</v>
      </c>
      <c r="J635" s="6" t="n">
        <f aca="false">IFERROR(DATEVALUE(B635),"")</f>
        <v>45572</v>
      </c>
      <c r="K635" s="4" t="str">
        <f aca="false">IF(A635="","",PROPER(TRIM(C635)))</f>
        <v>East</v>
      </c>
      <c r="L635" s="4" t="str">
        <f aca="false">IF(A635="","",PROPER(TRIM(D635)))</f>
        <v>Apparel</v>
      </c>
      <c r="M635" s="4" t="n">
        <f aca="false">IFERROR(VALUE(F635),0)</f>
        <v>1</v>
      </c>
      <c r="N635" s="7" t="n">
        <f aca="false">IFERROR(VALUE(SUBSTITUTE(G635,"$","")),0)</f>
        <v>70.05</v>
      </c>
      <c r="O635" s="4" t="n">
        <f aca="false">IF(A635="",0,IF(COUNTIF($A$2:A635,A635)&gt;1,1,0))</f>
        <v>0</v>
      </c>
      <c r="P635" s="4" t="n">
        <f aca="false">IF(AND(A635&lt;&gt;"",J635&lt;&gt;"",M635&gt;0,N635&gt;0,O635=0),1,0)</f>
        <v>1</v>
      </c>
      <c r="Q635" s="7" t="n">
        <f aca="false">IF(P635=1,M635*N635,0)</f>
        <v>70.05</v>
      </c>
    </row>
    <row r="636" customFormat="false" ht="15" hidden="false" customHeight="false" outlineLevel="0" collapsed="false">
      <c r="A636" s="4" t="n">
        <v>10234</v>
      </c>
      <c r="B636" s="4" t="s">
        <v>1522</v>
      </c>
      <c r="C636" s="4" t="s">
        <v>187</v>
      </c>
      <c r="D636" s="4" t="s">
        <v>387</v>
      </c>
      <c r="E636" s="4" t="s">
        <v>71</v>
      </c>
      <c r="F636" s="4" t="n">
        <v>5</v>
      </c>
      <c r="G636" s="4" t="s">
        <v>1523</v>
      </c>
      <c r="H636" s="4" t="s">
        <v>54</v>
      </c>
      <c r="I636" s="4" t="s">
        <v>1524</v>
      </c>
      <c r="J636" s="6" t="n">
        <f aca="false">IFERROR(DATEVALUE(B636),"")</f>
        <v>45511</v>
      </c>
      <c r="K636" s="4" t="str">
        <f aca="false">IF(A636="","",PROPER(TRIM(C636)))</f>
        <v>East</v>
      </c>
      <c r="L636" s="4" t="str">
        <f aca="false">IF(A636="","",PROPER(TRIM(D636)))</f>
        <v>Camping Gear</v>
      </c>
      <c r="M636" s="4" t="n">
        <f aca="false">IFERROR(VALUE(F636),0)</f>
        <v>5</v>
      </c>
      <c r="N636" s="7" t="n">
        <f aca="false">IFERROR(VALUE(SUBSTITUTE(G636,"$","")),0)</f>
        <v>67.41</v>
      </c>
      <c r="O636" s="4" t="n">
        <f aca="false">IF(A636="",0,IF(COUNTIF($A$2:A636,A636)&gt;1,1,0))</f>
        <v>0</v>
      </c>
      <c r="P636" s="4" t="n">
        <f aca="false">IF(AND(A636&lt;&gt;"",J636&lt;&gt;"",M636&gt;0,N636&gt;0,O636=0),1,0)</f>
        <v>1</v>
      </c>
      <c r="Q636" s="7" t="n">
        <f aca="false">IF(P636=1,M636*N636,0)</f>
        <v>337.05</v>
      </c>
    </row>
    <row r="637" customFormat="false" ht="15" hidden="false" customHeight="false" outlineLevel="0" collapsed="false">
      <c r="A637" s="4" t="n">
        <v>10089</v>
      </c>
      <c r="B637" s="4" t="s">
        <v>1052</v>
      </c>
      <c r="C637" s="4" t="s">
        <v>315</v>
      </c>
      <c r="D637" s="4" t="s">
        <v>202</v>
      </c>
      <c r="E637" s="4" t="s">
        <v>71</v>
      </c>
      <c r="F637" s="4" t="n">
        <v>2</v>
      </c>
      <c r="G637" s="4" t="s">
        <v>1525</v>
      </c>
      <c r="H637" s="4" t="s">
        <v>73</v>
      </c>
      <c r="I637" s="4" t="s">
        <v>1134</v>
      </c>
      <c r="J637" s="6" t="n">
        <f aca="false">IFERROR(DATEVALUE(B637),"")</f>
        <v>45807</v>
      </c>
      <c r="K637" s="4" t="str">
        <f aca="false">IF(A637="","",PROPER(TRIM(C637)))</f>
        <v>South</v>
      </c>
      <c r="L637" s="4" t="str">
        <f aca="false">IF(A637="","",PROPER(TRIM(D637)))</f>
        <v>Camping Gear</v>
      </c>
      <c r="M637" s="4" t="n">
        <f aca="false">IFERROR(VALUE(F637),0)</f>
        <v>2</v>
      </c>
      <c r="N637" s="7" t="n">
        <f aca="false">IFERROR(VALUE(SUBSTITUTE(G637,"$","")),0)</f>
        <v>70.99</v>
      </c>
      <c r="O637" s="4" t="n">
        <f aca="false">IF(A637="",0,IF(COUNTIF($A$2:A637,A637)&gt;1,1,0))</f>
        <v>0</v>
      </c>
      <c r="P637" s="4" t="n">
        <f aca="false">IF(AND(A637&lt;&gt;"",J637&lt;&gt;"",M637&gt;0,N637&gt;0,O637=0),1,0)</f>
        <v>1</v>
      </c>
      <c r="Q637" s="7" t="n">
        <f aca="false">IF(P637=1,M637*N637,0)</f>
        <v>141.98</v>
      </c>
    </row>
    <row r="638" customFormat="false" ht="15" hidden="false" customHeight="false" outlineLevel="0" collapsed="false">
      <c r="A638" s="4" t="n">
        <v>10260</v>
      </c>
      <c r="B638" s="4" t="s">
        <v>386</v>
      </c>
      <c r="C638" s="4" t="s">
        <v>50</v>
      </c>
      <c r="D638" s="4" t="s">
        <v>129</v>
      </c>
      <c r="E638" s="4" t="s">
        <v>59</v>
      </c>
      <c r="F638" s="4" t="n">
        <v>3</v>
      </c>
      <c r="G638" s="4" t="s">
        <v>1526</v>
      </c>
      <c r="H638" s="4" t="s">
        <v>73</v>
      </c>
      <c r="I638" s="4" t="s">
        <v>650</v>
      </c>
      <c r="J638" s="6" t="str">
        <f aca="false">IFERROR(DATEVALUE(B638),"")</f>
        <v/>
      </c>
      <c r="K638" s="4" t="str">
        <f aca="false">IF(A638="","",PROPER(TRIM(C638)))</f>
        <v>Midwest</v>
      </c>
      <c r="L638" s="4" t="str">
        <f aca="false">IF(A638="","",PROPER(TRIM(D638)))</f>
        <v>Climbing Gear</v>
      </c>
      <c r="M638" s="4" t="n">
        <f aca="false">IFERROR(VALUE(F638),0)</f>
        <v>3</v>
      </c>
      <c r="N638" s="7" t="n">
        <f aca="false">IFERROR(VALUE(SUBSTITUTE(G638,"$","")),0)</f>
        <v>44.5</v>
      </c>
      <c r="O638" s="4" t="n">
        <f aca="false">IF(A638="",0,IF(COUNTIF($A$2:A638,A638)&gt;1,1,0))</f>
        <v>0</v>
      </c>
      <c r="P638" s="4" t="n">
        <f aca="false">IF(AND(A638&lt;&gt;"",J638&lt;&gt;"",M638&gt;0,N638&gt;0,O638=0),1,0)</f>
        <v>0</v>
      </c>
      <c r="Q638" s="7" t="n">
        <f aca="false">IF(P638=1,M638*N638,0)</f>
        <v>0</v>
      </c>
    </row>
    <row r="639" customFormat="false" ht="15" hidden="false" customHeight="false" outlineLevel="0" collapsed="false">
      <c r="A639" s="4" t="n">
        <v>10192</v>
      </c>
      <c r="B639" s="4" t="s">
        <v>1527</v>
      </c>
      <c r="C639" s="4" t="s">
        <v>183</v>
      </c>
      <c r="D639" s="4" t="s">
        <v>124</v>
      </c>
      <c r="E639" s="4" t="s">
        <v>188</v>
      </c>
      <c r="F639" s="4" t="n">
        <v>1</v>
      </c>
      <c r="G639" s="4" t="s">
        <v>1528</v>
      </c>
      <c r="H639" s="4" t="s">
        <v>73</v>
      </c>
      <c r="I639" s="4" t="s">
        <v>404</v>
      </c>
      <c r="J639" s="6" t="n">
        <f aca="false">IFERROR(DATEVALUE(B639),"")</f>
        <v>45821</v>
      </c>
      <c r="K639" s="4" t="str">
        <f aca="false">IF(A639="","",PROPER(TRIM(C639)))</f>
        <v>West</v>
      </c>
      <c r="L639" s="4" t="str">
        <f aca="false">IF(A639="","",PROPER(TRIM(D639)))</f>
        <v>Climbing Gear</v>
      </c>
      <c r="M639" s="4" t="n">
        <f aca="false">IFERROR(VALUE(F639),0)</f>
        <v>1</v>
      </c>
      <c r="N639" s="7" t="n">
        <f aca="false">IFERROR(VALUE(SUBSTITUTE(G639,"$","")),0)</f>
        <v>19.14</v>
      </c>
      <c r="O639" s="4" t="n">
        <f aca="false">IF(A639="",0,IF(COUNTIF($A$2:A639,A639)&gt;1,1,0))</f>
        <v>0</v>
      </c>
      <c r="P639" s="4" t="n">
        <f aca="false">IF(AND(A639&lt;&gt;"",J639&lt;&gt;"",M639&gt;0,N639&gt;0,O639=0),1,0)</f>
        <v>1</v>
      </c>
      <c r="Q639" s="7" t="n">
        <f aca="false">IF(P639=1,M639*N639,0)</f>
        <v>19.14</v>
      </c>
    </row>
    <row r="640" customFormat="false" ht="15" hidden="false" customHeight="false" outlineLevel="0" collapsed="false">
      <c r="A640" s="4" t="n">
        <v>10612</v>
      </c>
      <c r="B640" s="4" t="s">
        <v>1529</v>
      </c>
      <c r="C640" s="4" t="s">
        <v>80</v>
      </c>
      <c r="D640" s="4" t="s">
        <v>217</v>
      </c>
      <c r="E640" s="4" t="s">
        <v>142</v>
      </c>
      <c r="F640" s="4" t="n">
        <v>1</v>
      </c>
      <c r="G640" s="4" t="s">
        <v>1530</v>
      </c>
      <c r="H640" s="4" t="s">
        <v>73</v>
      </c>
      <c r="I640" s="4" t="s">
        <v>1531</v>
      </c>
      <c r="J640" s="6" t="n">
        <f aca="false">IFERROR(DATEVALUE(B640),"")</f>
        <v>45392</v>
      </c>
      <c r="K640" s="4" t="str">
        <f aca="false">IF(A640="","",PROPER(TRIM(C640)))</f>
        <v>South</v>
      </c>
      <c r="L640" s="4" t="str">
        <f aca="false">IF(A640="","",PROPER(TRIM(D640)))</f>
        <v>Apparel</v>
      </c>
      <c r="M640" s="4" t="n">
        <f aca="false">IFERROR(VALUE(F640),0)</f>
        <v>1</v>
      </c>
      <c r="N640" s="7" t="n">
        <f aca="false">IFERROR(VALUE(SUBSTITUTE(G640,"$","")),0)</f>
        <v>185.2</v>
      </c>
      <c r="O640" s="4" t="n">
        <f aca="false">IF(A640="",0,IF(COUNTIF($A$2:A640,A640)&gt;1,1,0))</f>
        <v>0</v>
      </c>
      <c r="P640" s="4" t="n">
        <f aca="false">IF(AND(A640&lt;&gt;"",J640&lt;&gt;"",M640&gt;0,N640&gt;0,O640=0),1,0)</f>
        <v>1</v>
      </c>
      <c r="Q640" s="7" t="n">
        <f aca="false">IF(P640=1,M640*N640,0)</f>
        <v>185.2</v>
      </c>
    </row>
    <row r="641" customFormat="false" ht="15" hidden="false" customHeight="false" outlineLevel="0" collapsed="false">
      <c r="A641" s="4" t="n">
        <v>10544</v>
      </c>
      <c r="B641" s="4" t="s">
        <v>1532</v>
      </c>
      <c r="C641" s="4" t="s">
        <v>50</v>
      </c>
      <c r="D641" s="4" t="s">
        <v>124</v>
      </c>
      <c r="E641" s="4" t="s">
        <v>188</v>
      </c>
      <c r="F641" s="4" t="n">
        <v>-2</v>
      </c>
      <c r="G641" s="4" t="s">
        <v>844</v>
      </c>
      <c r="H641" s="4" t="s">
        <v>47</v>
      </c>
      <c r="I641" s="4" t="s">
        <v>767</v>
      </c>
      <c r="J641" s="6" t="n">
        <f aca="false">IFERROR(DATEVALUE(B641),"")</f>
        <v>45629</v>
      </c>
      <c r="K641" s="4" t="str">
        <f aca="false">IF(A641="","",PROPER(TRIM(C641)))</f>
        <v>Midwest</v>
      </c>
      <c r="L641" s="4" t="str">
        <f aca="false">IF(A641="","",PROPER(TRIM(D641)))</f>
        <v>Climbing Gear</v>
      </c>
      <c r="M641" s="4" t="n">
        <f aca="false">IFERROR(VALUE(F641),0)</f>
        <v>-2</v>
      </c>
      <c r="N641" s="7" t="n">
        <f aca="false">IFERROR(VALUE(SUBSTITUTE(G641,"$","")),0)</f>
        <v>19.19</v>
      </c>
      <c r="O641" s="4" t="n">
        <f aca="false">IF(A641="",0,IF(COUNTIF($A$2:A641,A641)&gt;1,1,0))</f>
        <v>0</v>
      </c>
      <c r="P641" s="4" t="n">
        <f aca="false">IF(AND(A641&lt;&gt;"",J641&lt;&gt;"",M641&gt;0,N641&gt;0,O641=0),1,0)</f>
        <v>0</v>
      </c>
      <c r="Q641" s="7" t="n">
        <f aca="false">IF(P641=1,M641*N641,0)</f>
        <v>0</v>
      </c>
    </row>
    <row r="642" customFormat="false" ht="15" hidden="false" customHeight="false" outlineLevel="0" collapsed="false">
      <c r="A642" s="4" t="n">
        <v>10583</v>
      </c>
      <c r="B642" s="4" t="s">
        <v>1533</v>
      </c>
      <c r="C642" s="4" t="s">
        <v>63</v>
      </c>
      <c r="D642" s="4" t="s">
        <v>64</v>
      </c>
      <c r="E642" s="4" t="s">
        <v>65</v>
      </c>
      <c r="F642" s="4" t="n">
        <v>1</v>
      </c>
      <c r="G642" s="4" t="s">
        <v>1534</v>
      </c>
      <c r="H642" s="4" t="s">
        <v>73</v>
      </c>
      <c r="I642" s="4" t="s">
        <v>809</v>
      </c>
      <c r="J642" s="6" t="n">
        <f aca="false">IFERROR(DATEVALUE(B642),"")</f>
        <v>45676</v>
      </c>
      <c r="K642" s="4" t="str">
        <f aca="false">IF(A642="","",PROPER(TRIM(C642)))</f>
        <v>Midwest</v>
      </c>
      <c r="L642" s="4" t="str">
        <f aca="false">IF(A642="","",PROPER(TRIM(D642)))</f>
        <v>Footwear</v>
      </c>
      <c r="M642" s="4" t="n">
        <f aca="false">IFERROR(VALUE(F642),0)</f>
        <v>1</v>
      </c>
      <c r="N642" s="7" t="n">
        <f aca="false">IFERROR(VALUE(SUBSTITUTE(G642,"$","")),0)</f>
        <v>50.43</v>
      </c>
      <c r="O642" s="4" t="n">
        <f aca="false">IF(A642="",0,IF(COUNTIF($A$2:A642,A642)&gt;1,1,0))</f>
        <v>0</v>
      </c>
      <c r="P642" s="4" t="n">
        <f aca="false">IF(AND(A642&lt;&gt;"",J642&lt;&gt;"",M642&gt;0,N642&gt;0,O642=0),1,0)</f>
        <v>1</v>
      </c>
      <c r="Q642" s="7" t="n">
        <f aca="false">IF(P642=1,M642*N642,0)</f>
        <v>50.43</v>
      </c>
    </row>
    <row r="643" customFormat="false" ht="15" hidden="false" customHeight="false" outlineLevel="0" collapsed="false">
      <c r="A643" s="4" t="n">
        <v>10546</v>
      </c>
      <c r="B643" s="4" t="s">
        <v>325</v>
      </c>
      <c r="C643" s="4" t="s">
        <v>155</v>
      </c>
      <c r="D643" s="4" t="s">
        <v>51</v>
      </c>
      <c r="E643" s="4" t="s">
        <v>160</v>
      </c>
      <c r="F643" s="4" t="n">
        <v>2</v>
      </c>
      <c r="G643" s="4" t="s">
        <v>1535</v>
      </c>
      <c r="H643" s="4" t="s">
        <v>47</v>
      </c>
      <c r="I643" s="4" t="s">
        <v>1312</v>
      </c>
      <c r="J643" s="6" t="n">
        <f aca="false">IFERROR(DATEVALUE(B643),"")</f>
        <v>45723</v>
      </c>
      <c r="K643" s="4" t="str">
        <f aca="false">IF(A643="","",PROPER(TRIM(C643)))</f>
        <v>South</v>
      </c>
      <c r="L643" s="4" t="str">
        <f aca="false">IF(A643="","",PROPER(TRIM(D643)))</f>
        <v>Accessories</v>
      </c>
      <c r="M643" s="4" t="n">
        <f aca="false">IFERROR(VALUE(F643),0)</f>
        <v>2</v>
      </c>
      <c r="N643" s="7" t="n">
        <f aca="false">IFERROR(VALUE(SUBSTITUTE(G643,"$","")),0)</f>
        <v>28.27</v>
      </c>
      <c r="O643" s="4" t="n">
        <f aca="false">IF(A643="",0,IF(COUNTIF($A$2:A643,A643)&gt;1,1,0))</f>
        <v>0</v>
      </c>
      <c r="P643" s="4" t="n">
        <f aca="false">IF(AND(A643&lt;&gt;"",J643&lt;&gt;"",M643&gt;0,N643&gt;0,O643=0),1,0)</f>
        <v>1</v>
      </c>
      <c r="Q643" s="7" t="n">
        <f aca="false">IF(P643=1,M643*N643,0)</f>
        <v>56.54</v>
      </c>
    </row>
    <row r="644" customFormat="false" ht="15" hidden="false" customHeight="false" outlineLevel="0" collapsed="false">
      <c r="A644" s="4" t="n">
        <v>10742</v>
      </c>
      <c r="B644" s="4" t="s">
        <v>1536</v>
      </c>
      <c r="C644" s="4" t="s">
        <v>321</v>
      </c>
      <c r="D644" s="4" t="s">
        <v>76</v>
      </c>
      <c r="E644" s="4" t="s">
        <v>151</v>
      </c>
      <c r="F644" s="4" t="n">
        <v>3</v>
      </c>
      <c r="G644" s="4" t="s">
        <v>1537</v>
      </c>
      <c r="H644" s="4" t="s">
        <v>54</v>
      </c>
      <c r="I644" s="4" t="s">
        <v>1538</v>
      </c>
      <c r="J644" s="6" t="n">
        <f aca="false">IFERROR(DATEVALUE(B644),"")</f>
        <v>45604</v>
      </c>
      <c r="K644" s="4" t="str">
        <f aca="false">IF(A644="","",PROPER(TRIM(C644)))</f>
        <v>West</v>
      </c>
      <c r="L644" s="4" t="str">
        <f aca="false">IF(A644="","",PROPER(TRIM(D644)))</f>
        <v>Footwear</v>
      </c>
      <c r="M644" s="4" t="n">
        <f aca="false">IFERROR(VALUE(F644),0)</f>
        <v>3</v>
      </c>
      <c r="N644" s="7" t="n">
        <f aca="false">IFERROR(VALUE(SUBSTITUTE(G644,"$","")),0)</f>
        <v>170.6</v>
      </c>
      <c r="O644" s="4" t="n">
        <f aca="false">IF(A644="",0,IF(COUNTIF($A$2:A644,A644)&gt;1,1,0))</f>
        <v>0</v>
      </c>
      <c r="P644" s="4" t="n">
        <f aca="false">IF(AND(A644&lt;&gt;"",J644&lt;&gt;"",M644&gt;0,N644&gt;0,O644=0),1,0)</f>
        <v>1</v>
      </c>
      <c r="Q644" s="7" t="n">
        <f aca="false">IF(P644=1,M644*N644,0)</f>
        <v>511.8</v>
      </c>
    </row>
    <row r="645" customFormat="false" ht="15" hidden="false" customHeight="false" outlineLevel="0" collapsed="false">
      <c r="A645" s="4" t="n">
        <v>10373</v>
      </c>
      <c r="B645" s="4" t="s">
        <v>860</v>
      </c>
      <c r="C645" s="4" t="s">
        <v>149</v>
      </c>
      <c r="D645" s="4" t="s">
        <v>76</v>
      </c>
      <c r="E645" s="4" t="s">
        <v>77</v>
      </c>
      <c r="F645" s="4" t="n">
        <v>1</v>
      </c>
      <c r="G645" s="4" t="s">
        <v>1539</v>
      </c>
      <c r="H645" s="4" t="s">
        <v>47</v>
      </c>
      <c r="I645" s="4" t="s">
        <v>74</v>
      </c>
      <c r="J645" s="6" t="n">
        <f aca="false">IFERROR(DATEVALUE(B645),"")</f>
        <v>45621</v>
      </c>
      <c r="K645" s="4" t="str">
        <f aca="false">IF(A645="","",PROPER(TRIM(C645)))</f>
        <v>East</v>
      </c>
      <c r="L645" s="4" t="str">
        <f aca="false">IF(A645="","",PROPER(TRIM(D645)))</f>
        <v>Footwear</v>
      </c>
      <c r="M645" s="4" t="n">
        <f aca="false">IFERROR(VALUE(F645),0)</f>
        <v>1</v>
      </c>
      <c r="N645" s="7" t="n">
        <f aca="false">IFERROR(VALUE(SUBSTITUTE(G645,"$","")),0)</f>
        <v>120.66</v>
      </c>
      <c r="O645" s="4" t="n">
        <f aca="false">IF(A645="",0,IF(COUNTIF($A$2:A645,A645)&gt;1,1,0))</f>
        <v>0</v>
      </c>
      <c r="P645" s="4" t="n">
        <f aca="false">IF(AND(A645&lt;&gt;"",J645&lt;&gt;"",M645&gt;0,N645&gt;0,O645=0),1,0)</f>
        <v>1</v>
      </c>
      <c r="Q645" s="7" t="n">
        <f aca="false">IF(P645=1,M645*N645,0)</f>
        <v>120.66</v>
      </c>
    </row>
    <row r="646" customFormat="false" ht="15" hidden="false" customHeight="false" outlineLevel="0" collapsed="false">
      <c r="A646" s="4" t="n">
        <v>10620</v>
      </c>
      <c r="B646" s="4" t="s">
        <v>1540</v>
      </c>
      <c r="C646" s="4" t="s">
        <v>140</v>
      </c>
      <c r="D646" s="4" t="s">
        <v>64</v>
      </c>
      <c r="E646" s="4" t="s">
        <v>65</v>
      </c>
      <c r="F646" s="4" t="n">
        <v>1</v>
      </c>
      <c r="G646" s="4" t="s">
        <v>1541</v>
      </c>
      <c r="H646" s="4" t="s">
        <v>47</v>
      </c>
      <c r="I646" s="4" t="s">
        <v>523</v>
      </c>
      <c r="J646" s="6" t="n">
        <f aca="false">IFERROR(DATEVALUE(B646),"")</f>
        <v>45360</v>
      </c>
      <c r="K646" s="4" t="str">
        <f aca="false">IF(A646="","",PROPER(TRIM(C646)))</f>
        <v>South</v>
      </c>
      <c r="L646" s="4" t="str">
        <f aca="false">IF(A646="","",PROPER(TRIM(D646)))</f>
        <v>Footwear</v>
      </c>
      <c r="M646" s="4" t="n">
        <f aca="false">IFERROR(VALUE(F646),0)</f>
        <v>1</v>
      </c>
      <c r="N646" s="7" t="n">
        <f aca="false">IFERROR(VALUE(SUBSTITUTE(G646,"$","")),0)</f>
        <v>62.54</v>
      </c>
      <c r="O646" s="4" t="n">
        <f aca="false">IF(A646="",0,IF(COUNTIF($A$2:A646,A646)&gt;1,1,0))</f>
        <v>0</v>
      </c>
      <c r="P646" s="4" t="n">
        <f aca="false">IF(AND(A646&lt;&gt;"",J646&lt;&gt;"",M646&gt;0,N646&gt;0,O646=0),1,0)</f>
        <v>1</v>
      </c>
      <c r="Q646" s="7" t="n">
        <f aca="false">IF(P646=1,M646*N646,0)</f>
        <v>62.54</v>
      </c>
    </row>
    <row r="647" customFormat="false" ht="15" hidden="false" customHeight="false" outlineLevel="0" collapsed="false">
      <c r="A647" s="4" t="n">
        <v>10658</v>
      </c>
      <c r="B647" s="4" t="s">
        <v>1207</v>
      </c>
      <c r="C647" s="4" t="s">
        <v>187</v>
      </c>
      <c r="D647" s="4" t="s">
        <v>106</v>
      </c>
      <c r="E647" s="4" t="s">
        <v>151</v>
      </c>
      <c r="F647" s="4" t="n">
        <v>1</v>
      </c>
      <c r="G647" s="4" t="s">
        <v>1480</v>
      </c>
      <c r="H647" s="4" t="s">
        <v>47</v>
      </c>
      <c r="I647" s="4" t="s">
        <v>162</v>
      </c>
      <c r="J647" s="6" t="n">
        <f aca="false">IFERROR(DATEVALUE(B647),"")</f>
        <v>45399</v>
      </c>
      <c r="K647" s="4" t="str">
        <f aca="false">IF(A647="","",PROPER(TRIM(C647)))</f>
        <v>East</v>
      </c>
      <c r="L647" s="4" t="str">
        <f aca="false">IF(A647="","",PROPER(TRIM(D647)))</f>
        <v>Footwear</v>
      </c>
      <c r="M647" s="4" t="n">
        <f aca="false">IFERROR(VALUE(F647),0)</f>
        <v>1</v>
      </c>
      <c r="N647" s="7" t="n">
        <f aca="false">IFERROR(VALUE(SUBSTITUTE(G647,"$","")),0)</f>
        <v>156.73</v>
      </c>
      <c r="O647" s="4" t="n">
        <f aca="false">IF(A647="",0,IF(COUNTIF($A$2:A647,A647)&gt;1,1,0))</f>
        <v>1</v>
      </c>
      <c r="P647" s="4" t="n">
        <f aca="false">IF(AND(A647&lt;&gt;"",J647&lt;&gt;"",M647&gt;0,N647&gt;0,O647=0),1,0)</f>
        <v>0</v>
      </c>
      <c r="Q647" s="7" t="n">
        <f aca="false">IF(P647=1,M647*N647,0)</f>
        <v>0</v>
      </c>
    </row>
    <row r="648" customFormat="false" ht="15" hidden="false" customHeight="false" outlineLevel="0" collapsed="false">
      <c r="A648" s="4" t="n">
        <v>10644</v>
      </c>
      <c r="B648" s="4" t="s">
        <v>1542</v>
      </c>
      <c r="C648" s="4" t="s">
        <v>93</v>
      </c>
      <c r="D648" s="4" t="s">
        <v>230</v>
      </c>
      <c r="E648" s="4" t="s">
        <v>89</v>
      </c>
      <c r="F648" s="4" t="n">
        <v>2</v>
      </c>
      <c r="G648" s="4" t="s">
        <v>1543</v>
      </c>
      <c r="H648" s="4" t="s">
        <v>54</v>
      </c>
      <c r="I648" s="4" t="s">
        <v>1544</v>
      </c>
      <c r="J648" s="6" t="n">
        <f aca="false">IFERROR(DATEVALUE(B648),"")</f>
        <v>45334</v>
      </c>
      <c r="K648" s="4" t="str">
        <f aca="false">IF(A648="","",PROPER(TRIM(C648)))</f>
        <v>West</v>
      </c>
      <c r="L648" s="4" t="str">
        <f aca="false">IF(A648="","",PROPER(TRIM(D648)))</f>
        <v>Apparel</v>
      </c>
      <c r="M648" s="4" t="n">
        <f aca="false">IFERROR(VALUE(F648),0)</f>
        <v>2</v>
      </c>
      <c r="N648" s="7" t="n">
        <f aca="false">IFERROR(VALUE(SUBSTITUTE(G648,"$","")),0)</f>
        <v>67.52</v>
      </c>
      <c r="O648" s="4" t="n">
        <f aca="false">IF(A648="",0,IF(COUNTIF($A$2:A648,A648)&gt;1,1,0))</f>
        <v>0</v>
      </c>
      <c r="P648" s="4" t="n">
        <f aca="false">IF(AND(A648&lt;&gt;"",J648&lt;&gt;"",M648&gt;0,N648&gt;0,O648=0),1,0)</f>
        <v>1</v>
      </c>
      <c r="Q648" s="7" t="n">
        <f aca="false">IF(P648=1,M648*N648,0)</f>
        <v>135.04</v>
      </c>
    </row>
    <row r="649" customFormat="false" ht="15" hidden="false" customHeight="false" outlineLevel="0" collapsed="false">
      <c r="A649" s="4" t="n">
        <v>10361</v>
      </c>
      <c r="B649" s="4" t="s">
        <v>777</v>
      </c>
      <c r="C649" s="4" t="s">
        <v>149</v>
      </c>
      <c r="D649" s="4" t="s">
        <v>58</v>
      </c>
      <c r="E649" s="4" t="s">
        <v>125</v>
      </c>
      <c r="F649" s="4" t="n">
        <v>2</v>
      </c>
      <c r="G649" s="4" t="s">
        <v>1545</v>
      </c>
      <c r="H649" s="4" t="s">
        <v>54</v>
      </c>
      <c r="I649" s="4" t="s">
        <v>1116</v>
      </c>
      <c r="J649" s="6" t="n">
        <f aca="false">IFERROR(DATEVALUE(B649),"")</f>
        <v>45364</v>
      </c>
      <c r="K649" s="4" t="str">
        <f aca="false">IF(A649="","",PROPER(TRIM(C649)))</f>
        <v>East</v>
      </c>
      <c r="L649" s="4" t="str">
        <f aca="false">IF(A649="","",PROPER(TRIM(D649)))</f>
        <v>Climbing Gear</v>
      </c>
      <c r="M649" s="4" t="n">
        <f aca="false">IFERROR(VALUE(F649),0)</f>
        <v>2</v>
      </c>
      <c r="N649" s="7" t="n">
        <f aca="false">IFERROR(VALUE(SUBSTITUTE(G649,"$","")),0)</f>
        <v>90.47</v>
      </c>
      <c r="O649" s="4" t="n">
        <f aca="false">IF(A649="",0,IF(COUNTIF($A$2:A649,A649)&gt;1,1,0))</f>
        <v>0</v>
      </c>
      <c r="P649" s="4" t="n">
        <f aca="false">IF(AND(A649&lt;&gt;"",J649&lt;&gt;"",M649&gt;0,N649&gt;0,O649=0),1,0)</f>
        <v>1</v>
      </c>
      <c r="Q649" s="7" t="n">
        <f aca="false">IF(P649=1,M649*N649,0)</f>
        <v>180.94</v>
      </c>
    </row>
    <row r="650" customFormat="false" ht="15" hidden="false" customHeight="false" outlineLevel="0" collapsed="false">
      <c r="A650" s="4" t="n">
        <v>10286</v>
      </c>
      <c r="B650" s="4" t="s">
        <v>497</v>
      </c>
      <c r="C650" s="4" t="s">
        <v>541</v>
      </c>
      <c r="D650" s="4" t="s">
        <v>217</v>
      </c>
      <c r="E650" s="4" t="s">
        <v>116</v>
      </c>
      <c r="F650" s="4" t="n">
        <v>-2</v>
      </c>
      <c r="G650" s="4" t="s">
        <v>1546</v>
      </c>
      <c r="H650" s="4" t="s">
        <v>54</v>
      </c>
      <c r="I650" s="4" t="s">
        <v>1547</v>
      </c>
      <c r="J650" s="6" t="n">
        <f aca="false">IFERROR(DATEVALUE(B650),"")</f>
        <v>45823</v>
      </c>
      <c r="K650" s="4" t="str">
        <f aca="false">IF(A650="","",PROPER(TRIM(C650)))</f>
        <v>West</v>
      </c>
      <c r="L650" s="4" t="str">
        <f aca="false">IF(A650="","",PROPER(TRIM(D650)))</f>
        <v>Apparel</v>
      </c>
      <c r="M650" s="4" t="n">
        <f aca="false">IFERROR(VALUE(F650),0)</f>
        <v>-2</v>
      </c>
      <c r="N650" s="7" t="n">
        <f aca="false">IFERROR(VALUE(SUBSTITUTE(G650,"$","")),0)</f>
        <v>79.29</v>
      </c>
      <c r="O650" s="4" t="n">
        <f aca="false">IF(A650="",0,IF(COUNTIF($A$2:A650,A650)&gt;1,1,0))</f>
        <v>0</v>
      </c>
      <c r="P650" s="4" t="n">
        <f aca="false">IF(AND(A650&lt;&gt;"",J650&lt;&gt;"",M650&gt;0,N650&gt;0,O650=0),1,0)</f>
        <v>0</v>
      </c>
      <c r="Q650" s="7" t="n">
        <f aca="false">IF(P650=1,M650*N650,0)</f>
        <v>0</v>
      </c>
    </row>
    <row r="651" customFormat="false" ht="15" hidden="false" customHeight="false" outlineLevel="0" collapsed="false">
      <c r="A651" s="4" t="n">
        <v>10259</v>
      </c>
      <c r="B651" s="4" t="s">
        <v>1548</v>
      </c>
      <c r="C651" s="4" t="s">
        <v>149</v>
      </c>
      <c r="D651" s="4" t="s">
        <v>141</v>
      </c>
      <c r="E651" s="4" t="s">
        <v>116</v>
      </c>
      <c r="F651" s="4" t="n">
        <v>1</v>
      </c>
      <c r="G651" s="4" t="s">
        <v>1549</v>
      </c>
      <c r="H651" s="4" t="s">
        <v>73</v>
      </c>
      <c r="I651" s="4" t="s">
        <v>1550</v>
      </c>
      <c r="J651" s="6" t="n">
        <f aca="false">IFERROR(DATEVALUE(B651),"")</f>
        <v>45710</v>
      </c>
      <c r="K651" s="4" t="str">
        <f aca="false">IF(A651="","",PROPER(TRIM(C651)))</f>
        <v>East</v>
      </c>
      <c r="L651" s="4" t="str">
        <f aca="false">IF(A651="","",PROPER(TRIM(D651)))</f>
        <v>Apparel</v>
      </c>
      <c r="M651" s="4" t="n">
        <f aca="false">IFERROR(VALUE(F651),0)</f>
        <v>1</v>
      </c>
      <c r="N651" s="7" t="n">
        <f aca="false">IFERROR(VALUE(SUBSTITUTE(G651,"$","")),0)</f>
        <v>71.76</v>
      </c>
      <c r="O651" s="4" t="n">
        <f aca="false">IF(A651="",0,IF(COUNTIF($A$2:A651,A651)&gt;1,1,0))</f>
        <v>0</v>
      </c>
      <c r="P651" s="4" t="n">
        <f aca="false">IF(AND(A651&lt;&gt;"",J651&lt;&gt;"",M651&gt;0,N651&gt;0,O651=0),1,0)</f>
        <v>1</v>
      </c>
      <c r="Q651" s="7" t="n">
        <f aca="false">IF(P651=1,M651*N651,0)</f>
        <v>71.76</v>
      </c>
    </row>
    <row r="652" customFormat="false" ht="15" hidden="false" customHeight="false" outlineLevel="0" collapsed="false">
      <c r="A652" s="4" t="n">
        <v>10168</v>
      </c>
      <c r="B652" s="4" t="s">
        <v>1551</v>
      </c>
      <c r="C652" s="4" t="s">
        <v>140</v>
      </c>
      <c r="D652" s="4" t="s">
        <v>101</v>
      </c>
      <c r="E652" s="4" t="s">
        <v>52</v>
      </c>
      <c r="F652" s="4" t="n">
        <v>2</v>
      </c>
      <c r="G652" s="4" t="s">
        <v>1552</v>
      </c>
      <c r="H652" s="4" t="s">
        <v>47</v>
      </c>
      <c r="I652" s="4" t="s">
        <v>1260</v>
      </c>
      <c r="J652" s="6" t="n">
        <f aca="false">IFERROR(DATEVALUE(B652),"")</f>
        <v>45333</v>
      </c>
      <c r="K652" s="4" t="str">
        <f aca="false">IF(A652="","",PROPER(TRIM(C652)))</f>
        <v>South</v>
      </c>
      <c r="L652" s="4" t="str">
        <f aca="false">IF(A652="","",PROPER(TRIM(D652)))</f>
        <v>Accessories</v>
      </c>
      <c r="M652" s="4" t="n">
        <f aca="false">IFERROR(VALUE(F652),0)</f>
        <v>2</v>
      </c>
      <c r="N652" s="7" t="n">
        <f aca="false">IFERROR(VALUE(SUBSTITUTE(G652,"$","")),0)</f>
        <v>91.63</v>
      </c>
      <c r="O652" s="4" t="n">
        <f aca="false">IF(A652="",0,IF(COUNTIF($A$2:A652,A652)&gt;1,1,0))</f>
        <v>0</v>
      </c>
      <c r="P652" s="4" t="n">
        <f aca="false">IF(AND(A652&lt;&gt;"",J652&lt;&gt;"",M652&gt;0,N652&gt;0,O652=0),1,0)</f>
        <v>1</v>
      </c>
      <c r="Q652" s="7" t="n">
        <f aca="false">IF(P652=1,M652*N652,0)</f>
        <v>183.26</v>
      </c>
    </row>
    <row r="653" customFormat="false" ht="15" hidden="false" customHeight="false" outlineLevel="0" collapsed="false">
      <c r="A653" s="4" t="n">
        <v>10274</v>
      </c>
      <c r="B653" s="4" t="s">
        <v>1553</v>
      </c>
      <c r="C653" s="4" t="s">
        <v>183</v>
      </c>
      <c r="D653" s="4" t="s">
        <v>81</v>
      </c>
      <c r="E653" s="4" t="s">
        <v>151</v>
      </c>
      <c r="F653" s="4" t="n">
        <v>1</v>
      </c>
      <c r="G653" s="4" t="s">
        <v>1554</v>
      </c>
      <c r="H653" s="4" t="s">
        <v>73</v>
      </c>
      <c r="I653" s="4" t="s">
        <v>1555</v>
      </c>
      <c r="J653" s="6" t="n">
        <f aca="false">IFERROR(DATEVALUE(B653),"")</f>
        <v>45500</v>
      </c>
      <c r="K653" s="4" t="str">
        <f aca="false">IF(A653="","",PROPER(TRIM(C653)))</f>
        <v>West</v>
      </c>
      <c r="L653" s="4" t="str">
        <f aca="false">IF(A653="","",PROPER(TRIM(D653)))</f>
        <v>Footwear</v>
      </c>
      <c r="M653" s="4" t="n">
        <f aca="false">IFERROR(VALUE(F653),0)</f>
        <v>1</v>
      </c>
      <c r="N653" s="7" t="n">
        <f aca="false">IFERROR(VALUE(SUBSTITUTE(G653,"$","")),0)</f>
        <v>164.25</v>
      </c>
      <c r="O653" s="4" t="n">
        <f aca="false">IF(A653="",0,IF(COUNTIF($A$2:A653,A653)&gt;1,1,0))</f>
        <v>0</v>
      </c>
      <c r="P653" s="4" t="n">
        <f aca="false">IF(AND(A653&lt;&gt;"",J653&lt;&gt;"",M653&gt;0,N653&gt;0,O653=0),1,0)</f>
        <v>1</v>
      </c>
      <c r="Q653" s="7" t="n">
        <f aca="false">IF(P653=1,M653*N653,0)</f>
        <v>164.25</v>
      </c>
    </row>
    <row r="654" customFormat="false" ht="15" hidden="false" customHeight="false" outlineLevel="0" collapsed="false">
      <c r="A654" s="4" t="n">
        <v>10573</v>
      </c>
      <c r="B654" s="4" t="s">
        <v>1556</v>
      </c>
      <c r="C654" s="4" t="s">
        <v>80</v>
      </c>
      <c r="D654" s="4" t="s">
        <v>225</v>
      </c>
      <c r="E654" s="4" t="s">
        <v>160</v>
      </c>
      <c r="F654" s="4" t="n">
        <v>4</v>
      </c>
      <c r="G654" s="4" t="s">
        <v>1557</v>
      </c>
      <c r="H654" s="4" t="s">
        <v>73</v>
      </c>
      <c r="I654" s="4" t="s">
        <v>583</v>
      </c>
      <c r="J654" s="6" t="n">
        <f aca="false">IFERROR(DATEVALUE(B654),"")</f>
        <v>45305</v>
      </c>
      <c r="K654" s="4" t="str">
        <f aca="false">IF(A654="","",PROPER(TRIM(C654)))</f>
        <v>South</v>
      </c>
      <c r="L654" s="4" t="str">
        <f aca="false">IF(A654="","",PROPER(TRIM(D654)))</f>
        <v>Accessories</v>
      </c>
      <c r="M654" s="4" t="n">
        <f aca="false">IFERROR(VALUE(F654),0)</f>
        <v>4</v>
      </c>
      <c r="N654" s="7" t="n">
        <f aca="false">IFERROR(VALUE(SUBSTITUTE(G654,"$","")),0)</f>
        <v>25.75</v>
      </c>
      <c r="O654" s="4" t="n">
        <f aca="false">IF(A654="",0,IF(COUNTIF($A$2:A654,A654)&gt;1,1,0))</f>
        <v>0</v>
      </c>
      <c r="P654" s="4" t="n">
        <f aca="false">IF(AND(A654&lt;&gt;"",J654&lt;&gt;"",M654&gt;0,N654&gt;0,O654=0),1,0)</f>
        <v>1</v>
      </c>
      <c r="Q654" s="7" t="n">
        <f aca="false">IF(P654=1,M654*N654,0)</f>
        <v>103</v>
      </c>
    </row>
    <row r="655" customFormat="false" ht="15" hidden="false" customHeight="false" outlineLevel="0" collapsed="false">
      <c r="A655" s="4" t="n">
        <v>10138</v>
      </c>
      <c r="B655" s="4" t="s">
        <v>1558</v>
      </c>
      <c r="C655" s="4" t="s">
        <v>69</v>
      </c>
      <c r="D655" s="4" t="s">
        <v>230</v>
      </c>
      <c r="E655" s="4" t="s">
        <v>142</v>
      </c>
      <c r="F655" s="4" t="n">
        <v>1</v>
      </c>
      <c r="G655" s="4" t="s">
        <v>1559</v>
      </c>
      <c r="H655" s="4" t="s">
        <v>54</v>
      </c>
      <c r="I655" s="4" t="s">
        <v>313</v>
      </c>
      <c r="J655" s="6" t="n">
        <f aca="false">IFERROR(DATEVALUE(B655),"")</f>
        <v>45382</v>
      </c>
      <c r="K655" s="4" t="str">
        <f aca="false">IF(A655="","",PROPER(TRIM(C655)))</f>
        <v>East</v>
      </c>
      <c r="L655" s="4" t="str">
        <f aca="false">IF(A655="","",PROPER(TRIM(D655)))</f>
        <v>Apparel</v>
      </c>
      <c r="M655" s="4" t="n">
        <f aca="false">IFERROR(VALUE(F655),0)</f>
        <v>1</v>
      </c>
      <c r="N655" s="7" t="n">
        <f aca="false">IFERROR(VALUE(SUBSTITUTE(G655,"$","")),0)</f>
        <v>172.95</v>
      </c>
      <c r="O655" s="4" t="n">
        <f aca="false">IF(A655="",0,IF(COUNTIF($A$2:A655,A655)&gt;1,1,0))</f>
        <v>0</v>
      </c>
      <c r="P655" s="4" t="n">
        <f aca="false">IF(AND(A655&lt;&gt;"",J655&lt;&gt;"",M655&gt;0,N655&gt;0,O655=0),1,0)</f>
        <v>1</v>
      </c>
      <c r="Q655" s="7" t="n">
        <f aca="false">IF(P655=1,M655*N655,0)</f>
        <v>172.95</v>
      </c>
    </row>
    <row r="656" customFormat="false" ht="15" hidden="false" customHeight="false" outlineLevel="0" collapsed="false">
      <c r="A656" s="4" t="n">
        <v>10177</v>
      </c>
      <c r="B656" s="4" t="s">
        <v>1560</v>
      </c>
      <c r="C656" s="4" t="s">
        <v>93</v>
      </c>
      <c r="D656" s="4" t="s">
        <v>281</v>
      </c>
      <c r="E656" s="4" t="s">
        <v>448</v>
      </c>
      <c r="F656" s="4" t="n">
        <v>3</v>
      </c>
      <c r="G656" s="4" t="s">
        <v>1561</v>
      </c>
      <c r="H656" s="4" t="s">
        <v>73</v>
      </c>
      <c r="I656" s="4" t="s">
        <v>248</v>
      </c>
      <c r="J656" s="6" t="n">
        <f aca="false">IFERROR(DATEVALUE(B656),"")</f>
        <v>45320</v>
      </c>
      <c r="K656" s="4" t="str">
        <f aca="false">IF(A656="","",PROPER(TRIM(C656)))</f>
        <v>West</v>
      </c>
      <c r="L656" s="4" t="str">
        <f aca="false">IF(A656="","",PROPER(TRIM(D656)))</f>
        <v>Camping Gear</v>
      </c>
      <c r="M656" s="4" t="n">
        <f aca="false">IFERROR(VALUE(F656),0)</f>
        <v>3</v>
      </c>
      <c r="N656" s="7" t="n">
        <f aca="false">IFERROR(VALUE(SUBSTITUTE(G656,"$","")),0)</f>
        <v>174.7</v>
      </c>
      <c r="O656" s="4" t="n">
        <f aca="false">IF(A656="",0,IF(COUNTIF($A$2:A656,A656)&gt;1,1,0))</f>
        <v>0</v>
      </c>
      <c r="P656" s="4" t="n">
        <f aca="false">IF(AND(A656&lt;&gt;"",J656&lt;&gt;"",M656&gt;0,N656&gt;0,O656=0),1,0)</f>
        <v>1</v>
      </c>
      <c r="Q656" s="7" t="n">
        <f aca="false">IF(P656=1,M656*N656,0)</f>
        <v>524.1</v>
      </c>
    </row>
    <row r="657" customFormat="false" ht="15" hidden="false" customHeight="false" outlineLevel="0" collapsed="false">
      <c r="A657" s="4" t="n">
        <v>10050</v>
      </c>
      <c r="B657" s="4" t="s">
        <v>1562</v>
      </c>
      <c r="C657" s="4" t="s">
        <v>93</v>
      </c>
      <c r="D657" s="4" t="s">
        <v>202</v>
      </c>
      <c r="E657" s="4" t="s">
        <v>448</v>
      </c>
      <c r="F657" s="4" t="n">
        <v>2</v>
      </c>
      <c r="G657" s="4" t="s">
        <v>1563</v>
      </c>
      <c r="H657" s="4" t="s">
        <v>47</v>
      </c>
      <c r="I657" s="4" t="s">
        <v>1211</v>
      </c>
      <c r="J657" s="6" t="n">
        <f aca="false">IFERROR(DATEVALUE(B657),"")</f>
        <v>45520</v>
      </c>
      <c r="K657" s="4" t="str">
        <f aca="false">IF(A657="","",PROPER(TRIM(C657)))</f>
        <v>West</v>
      </c>
      <c r="L657" s="4" t="str">
        <f aca="false">IF(A657="","",PROPER(TRIM(D657)))</f>
        <v>Camping Gear</v>
      </c>
      <c r="M657" s="4" t="n">
        <f aca="false">IFERROR(VALUE(F657),0)</f>
        <v>2</v>
      </c>
      <c r="N657" s="7" t="n">
        <f aca="false">IFERROR(VALUE(SUBSTITUTE(G657,"$","")),0)</f>
        <v>189.42</v>
      </c>
      <c r="O657" s="4" t="n">
        <f aca="false">IF(A657="",0,IF(COUNTIF($A$2:A657,A657)&gt;1,1,0))</f>
        <v>0</v>
      </c>
      <c r="P657" s="4" t="n">
        <f aca="false">IF(AND(A657&lt;&gt;"",J657&lt;&gt;"",M657&gt;0,N657&gt;0,O657=0),1,0)</f>
        <v>1</v>
      </c>
      <c r="Q657" s="7" t="n">
        <f aca="false">IF(P657=1,M657*N657,0)</f>
        <v>378.84</v>
      </c>
    </row>
    <row r="658" customFormat="false" ht="15" hidden="false" customHeight="false" outlineLevel="0" collapsed="false">
      <c r="A658" s="4" t="n">
        <v>10291</v>
      </c>
      <c r="B658" s="4" t="s">
        <v>1056</v>
      </c>
      <c r="C658" s="4" t="s">
        <v>321</v>
      </c>
      <c r="D658" s="4" t="s">
        <v>171</v>
      </c>
      <c r="E658" s="4" t="s">
        <v>448</v>
      </c>
      <c r="F658" s="4" t="n">
        <v>1</v>
      </c>
      <c r="G658" s="4" t="s">
        <v>1564</v>
      </c>
      <c r="H658" s="4" t="s">
        <v>47</v>
      </c>
      <c r="I658" s="4" t="s">
        <v>358</v>
      </c>
      <c r="J658" s="6" t="n">
        <f aca="false">IFERROR(DATEVALUE(B658),"")</f>
        <v>45784</v>
      </c>
      <c r="K658" s="4" t="str">
        <f aca="false">IF(A658="","",PROPER(TRIM(C658)))</f>
        <v>West</v>
      </c>
      <c r="L658" s="4" t="str">
        <f aca="false">IF(A658="","",PROPER(TRIM(D658)))</f>
        <v>Camping Gear</v>
      </c>
      <c r="M658" s="4" t="n">
        <f aca="false">IFERROR(VALUE(F658),0)</f>
        <v>1</v>
      </c>
      <c r="N658" s="7" t="n">
        <f aca="false">IFERROR(VALUE(SUBSTITUTE(G658,"$","")),0)</f>
        <v>173.16</v>
      </c>
      <c r="O658" s="4" t="n">
        <f aca="false">IF(A658="",0,IF(COUNTIF($A$2:A658,A658)&gt;1,1,0))</f>
        <v>0</v>
      </c>
      <c r="P658" s="4" t="n">
        <f aca="false">IF(AND(A658&lt;&gt;"",J658&lt;&gt;"",M658&gt;0,N658&gt;0,O658=0),1,0)</f>
        <v>1</v>
      </c>
      <c r="Q658" s="7" t="n">
        <f aca="false">IF(P658=1,M658*N658,0)</f>
        <v>173.16</v>
      </c>
    </row>
    <row r="659" customFormat="false" ht="15" hidden="false" customHeight="false" outlineLevel="0" collapsed="false">
      <c r="A659" s="4" t="n">
        <v>10245</v>
      </c>
      <c r="B659" s="4" t="s">
        <v>1565</v>
      </c>
      <c r="C659" s="4" t="s">
        <v>183</v>
      </c>
      <c r="D659" s="4" t="s">
        <v>64</v>
      </c>
      <c r="E659" s="4" t="s">
        <v>77</v>
      </c>
      <c r="F659" s="4" t="n">
        <v>2</v>
      </c>
      <c r="G659" s="4" t="s">
        <v>1566</v>
      </c>
      <c r="H659" s="4" t="s">
        <v>73</v>
      </c>
      <c r="I659" s="4" t="s">
        <v>162</v>
      </c>
      <c r="J659" s="6" t="n">
        <f aca="false">IFERROR(DATEVALUE(B659),"")</f>
        <v>45783</v>
      </c>
      <c r="K659" s="4" t="str">
        <f aca="false">IF(A659="","",PROPER(TRIM(C659)))</f>
        <v>West</v>
      </c>
      <c r="L659" s="4" t="str">
        <f aca="false">IF(A659="","",PROPER(TRIM(D659)))</f>
        <v>Footwear</v>
      </c>
      <c r="M659" s="4" t="n">
        <f aca="false">IFERROR(VALUE(F659),0)</f>
        <v>2</v>
      </c>
      <c r="N659" s="7" t="n">
        <f aca="false">IFERROR(VALUE(SUBSTITUTE(G659,"$","")),0)</f>
        <v>142.72</v>
      </c>
      <c r="O659" s="4" t="n">
        <f aca="false">IF(A659="",0,IF(COUNTIF($A$2:A659,A659)&gt;1,1,0))</f>
        <v>0</v>
      </c>
      <c r="P659" s="4" t="n">
        <f aca="false">IF(AND(A659&lt;&gt;"",J659&lt;&gt;"",M659&gt;0,N659&gt;0,O659=0),1,0)</f>
        <v>1</v>
      </c>
      <c r="Q659" s="7" t="n">
        <f aca="false">IF(P659=1,M659*N659,0)</f>
        <v>285.44</v>
      </c>
    </row>
    <row r="660" customFormat="false" ht="15" hidden="false" customHeight="false" outlineLevel="0" collapsed="false">
      <c r="A660" s="4" t="n">
        <v>10697</v>
      </c>
      <c r="B660" s="4" t="s">
        <v>1567</v>
      </c>
      <c r="C660" s="4" t="s">
        <v>105</v>
      </c>
      <c r="D660" s="4" t="s">
        <v>124</v>
      </c>
      <c r="E660" s="4" t="s">
        <v>59</v>
      </c>
      <c r="F660" s="4" t="n">
        <v>2</v>
      </c>
      <c r="G660" s="4" t="s">
        <v>1568</v>
      </c>
      <c r="H660" s="4" t="s">
        <v>47</v>
      </c>
      <c r="I660" s="4" t="s">
        <v>389</v>
      </c>
      <c r="J660" s="6" t="n">
        <f aca="false">IFERROR(DATEVALUE(B660),"")</f>
        <v>45745</v>
      </c>
      <c r="K660" s="4" t="str">
        <f aca="false">IF(A660="","",PROPER(TRIM(C660)))</f>
        <v>Midwest</v>
      </c>
      <c r="L660" s="4" t="str">
        <f aca="false">IF(A660="","",PROPER(TRIM(D660)))</f>
        <v>Climbing Gear</v>
      </c>
      <c r="M660" s="4" t="n">
        <f aca="false">IFERROR(VALUE(F660),0)</f>
        <v>2</v>
      </c>
      <c r="N660" s="7" t="n">
        <f aca="false">IFERROR(VALUE(SUBSTITUTE(G660,"$","")),0)</f>
        <v>39.43</v>
      </c>
      <c r="O660" s="4" t="n">
        <f aca="false">IF(A660="",0,IF(COUNTIF($A$2:A660,A660)&gt;1,1,0))</f>
        <v>0</v>
      </c>
      <c r="P660" s="4" t="n">
        <f aca="false">IF(AND(A660&lt;&gt;"",J660&lt;&gt;"",M660&gt;0,N660&gt;0,O660=0),1,0)</f>
        <v>1</v>
      </c>
      <c r="Q660" s="7" t="n">
        <f aca="false">IF(P660=1,M660*N660,0)</f>
        <v>78.86</v>
      </c>
    </row>
    <row r="661" customFormat="false" ht="15" hidden="false" customHeight="false" outlineLevel="0" collapsed="false">
      <c r="A661" s="4" t="n">
        <v>10744</v>
      </c>
      <c r="B661" s="4" t="s">
        <v>1569</v>
      </c>
      <c r="C661" s="4" t="s">
        <v>155</v>
      </c>
      <c r="D661" s="4" t="s">
        <v>217</v>
      </c>
      <c r="E661" s="4" t="s">
        <v>142</v>
      </c>
      <c r="F661" s="4" t="n">
        <v>2</v>
      </c>
      <c r="G661" s="4" t="s">
        <v>1570</v>
      </c>
      <c r="H661" s="4" t="s">
        <v>73</v>
      </c>
      <c r="I661" s="4" t="s">
        <v>368</v>
      </c>
      <c r="J661" s="6" t="n">
        <f aca="false">IFERROR(DATEVALUE(B661),"")</f>
        <v>45644</v>
      </c>
      <c r="K661" s="4" t="str">
        <f aca="false">IF(A661="","",PROPER(TRIM(C661)))</f>
        <v>South</v>
      </c>
      <c r="L661" s="4" t="str">
        <f aca="false">IF(A661="","",PROPER(TRIM(D661)))</f>
        <v>Apparel</v>
      </c>
      <c r="M661" s="4" t="n">
        <f aca="false">IFERROR(VALUE(F661),0)</f>
        <v>2</v>
      </c>
      <c r="N661" s="7" t="n">
        <f aca="false">IFERROR(VALUE(SUBSTITUTE(G661,"$","")),0)</f>
        <v>173.19</v>
      </c>
      <c r="O661" s="4" t="n">
        <f aca="false">IF(A661="",0,IF(COUNTIF($A$2:A661,A661)&gt;1,1,0))</f>
        <v>0</v>
      </c>
      <c r="P661" s="4" t="n">
        <f aca="false">IF(AND(A661&lt;&gt;"",J661&lt;&gt;"",M661&gt;0,N661&gt;0,O661=0),1,0)</f>
        <v>1</v>
      </c>
      <c r="Q661" s="7" t="n">
        <f aca="false">IF(P661=1,M661*N661,0)</f>
        <v>346.38</v>
      </c>
    </row>
    <row r="662" customFormat="false" ht="15" hidden="false" customHeight="false" outlineLevel="0" collapsed="false">
      <c r="A662" s="4" t="n">
        <v>10074</v>
      </c>
      <c r="B662" s="4" t="s">
        <v>1571</v>
      </c>
      <c r="C662" s="4" t="s">
        <v>63</v>
      </c>
      <c r="D662" s="4" t="s">
        <v>333</v>
      </c>
      <c r="E662" s="4" t="s">
        <v>45</v>
      </c>
      <c r="F662" s="4" t="n">
        <v>2</v>
      </c>
      <c r="G662" s="4" t="s">
        <v>1572</v>
      </c>
      <c r="H662" s="4" t="s">
        <v>47</v>
      </c>
      <c r="I662" s="4" t="s">
        <v>485</v>
      </c>
      <c r="J662" s="6" t="n">
        <f aca="false">IFERROR(DATEVALUE(B662),"")</f>
        <v>45795</v>
      </c>
      <c r="K662" s="4" t="str">
        <f aca="false">IF(A662="","",PROPER(TRIM(C662)))</f>
        <v>Midwest</v>
      </c>
      <c r="L662" s="4" t="str">
        <f aca="false">IF(A662="","",PROPER(TRIM(D662)))</f>
        <v>Accessories</v>
      </c>
      <c r="M662" s="4" t="n">
        <f aca="false">IFERROR(VALUE(F662),0)</f>
        <v>2</v>
      </c>
      <c r="N662" s="7" t="n">
        <f aca="false">IFERROR(VALUE(SUBSTITUTE(G662,"$","")),0)</f>
        <v>47.41</v>
      </c>
      <c r="O662" s="4" t="n">
        <f aca="false">IF(A662="",0,IF(COUNTIF($A$2:A662,A662)&gt;1,1,0))</f>
        <v>0</v>
      </c>
      <c r="P662" s="4" t="n">
        <f aca="false">IF(AND(A662&lt;&gt;"",J662&lt;&gt;"",M662&gt;0,N662&gt;0,O662=0),1,0)</f>
        <v>1</v>
      </c>
      <c r="Q662" s="7" t="n">
        <f aca="false">IF(P662=1,M662*N662,0)</f>
        <v>94.82</v>
      </c>
    </row>
    <row r="663" customFormat="false" ht="15" hidden="false" customHeight="false" outlineLevel="0" collapsed="false">
      <c r="A663" s="4" t="n">
        <v>10190</v>
      </c>
      <c r="B663" s="4" t="s">
        <v>1573</v>
      </c>
      <c r="C663" s="4" t="s">
        <v>69</v>
      </c>
      <c r="D663" s="4" t="s">
        <v>58</v>
      </c>
      <c r="E663" s="4" t="s">
        <v>125</v>
      </c>
      <c r="F663" s="4" t="n">
        <v>2</v>
      </c>
      <c r="G663" s="4" t="s">
        <v>1574</v>
      </c>
      <c r="H663" s="4" t="s">
        <v>47</v>
      </c>
      <c r="I663" s="4" t="s">
        <v>118</v>
      </c>
      <c r="J663" s="6" t="n">
        <f aca="false">IFERROR(DATEVALUE(B663),"")</f>
        <v>45556</v>
      </c>
      <c r="K663" s="4" t="str">
        <f aca="false">IF(A663="","",PROPER(TRIM(C663)))</f>
        <v>East</v>
      </c>
      <c r="L663" s="4" t="str">
        <f aca="false">IF(A663="","",PROPER(TRIM(D663)))</f>
        <v>Climbing Gear</v>
      </c>
      <c r="M663" s="4" t="n">
        <f aca="false">IFERROR(VALUE(F663),0)</f>
        <v>2</v>
      </c>
      <c r="N663" s="7" t="n">
        <f aca="false">IFERROR(VALUE(SUBSTITUTE(G663,"$","")),0)</f>
        <v>87.24</v>
      </c>
      <c r="O663" s="4" t="n">
        <f aca="false">IF(A663="",0,IF(COUNTIF($A$2:A663,A663)&gt;1,1,0))</f>
        <v>0</v>
      </c>
      <c r="P663" s="4" t="n">
        <f aca="false">IF(AND(A663&lt;&gt;"",J663&lt;&gt;"",M663&gt;0,N663&gt;0,O663=0),1,0)</f>
        <v>1</v>
      </c>
      <c r="Q663" s="7" t="n">
        <f aca="false">IF(P663=1,M663*N663,0)</f>
        <v>174.48</v>
      </c>
    </row>
    <row r="664" customFormat="false" ht="15" hidden="false" customHeight="false" outlineLevel="0" collapsed="false">
      <c r="A664" s="4" t="n">
        <v>10358</v>
      </c>
      <c r="B664" s="4" t="s">
        <v>1575</v>
      </c>
      <c r="C664" s="4" t="s">
        <v>149</v>
      </c>
      <c r="D664" s="4" t="s">
        <v>76</v>
      </c>
      <c r="E664" s="4" t="s">
        <v>65</v>
      </c>
      <c r="F664" s="4" t="n">
        <v>2</v>
      </c>
      <c r="G664" s="4" t="s">
        <v>409</v>
      </c>
      <c r="H664" s="4" t="s">
        <v>73</v>
      </c>
      <c r="I664" s="4" t="s">
        <v>1390</v>
      </c>
      <c r="J664" s="6" t="n">
        <f aca="false">IFERROR(DATEVALUE(B664),"")</f>
        <v>45463</v>
      </c>
      <c r="K664" s="4" t="str">
        <f aca="false">IF(A664="","",PROPER(TRIM(C664)))</f>
        <v>East</v>
      </c>
      <c r="L664" s="4" t="str">
        <f aca="false">IF(A664="","",PROPER(TRIM(D664)))</f>
        <v>Footwear</v>
      </c>
      <c r="M664" s="4" t="n">
        <f aca="false">IFERROR(VALUE(F664),0)</f>
        <v>2</v>
      </c>
      <c r="N664" s="7" t="n">
        <f aca="false">IFERROR(VALUE(SUBSTITUTE(G664,"$","")),0)</f>
        <v>55.06</v>
      </c>
      <c r="O664" s="4" t="n">
        <f aca="false">IF(A664="",0,IF(COUNTIF($A$2:A664,A664)&gt;1,1,0))</f>
        <v>0</v>
      </c>
      <c r="P664" s="4" t="n">
        <f aca="false">IF(AND(A664&lt;&gt;"",J664&lt;&gt;"",M664&gt;0,N664&gt;0,O664=0),1,0)</f>
        <v>1</v>
      </c>
      <c r="Q664" s="7" t="n">
        <f aca="false">IF(P664=1,M664*N664,0)</f>
        <v>110.12</v>
      </c>
    </row>
    <row r="665" customFormat="false" ht="15" hidden="false" customHeight="false" outlineLevel="0" collapsed="false">
      <c r="A665" s="4" t="n">
        <v>10006</v>
      </c>
      <c r="B665" s="4" t="s">
        <v>1576</v>
      </c>
      <c r="C665" s="4" t="s">
        <v>183</v>
      </c>
      <c r="D665" s="4" t="s">
        <v>106</v>
      </c>
      <c r="E665" s="4" t="s">
        <v>77</v>
      </c>
      <c r="F665" s="4" t="n">
        <v>3</v>
      </c>
      <c r="G665" s="4" t="s">
        <v>1577</v>
      </c>
      <c r="H665" s="4" t="s">
        <v>47</v>
      </c>
      <c r="I665" s="4" t="s">
        <v>1578</v>
      </c>
      <c r="J665" s="6" t="n">
        <f aca="false">IFERROR(DATEVALUE(B665),"")</f>
        <v>45777</v>
      </c>
      <c r="K665" s="4" t="str">
        <f aca="false">IF(A665="","",PROPER(TRIM(C665)))</f>
        <v>West</v>
      </c>
      <c r="L665" s="4" t="str">
        <f aca="false">IF(A665="","",PROPER(TRIM(D665)))</f>
        <v>Footwear</v>
      </c>
      <c r="M665" s="4" t="n">
        <f aca="false">IFERROR(VALUE(F665),0)</f>
        <v>3</v>
      </c>
      <c r="N665" s="7" t="n">
        <f aca="false">IFERROR(VALUE(SUBSTITUTE(G665,"$","")),0)</f>
        <v>147.69</v>
      </c>
      <c r="O665" s="4" t="n">
        <f aca="false">IF(A665="",0,IF(COUNTIF($A$2:A665,A665)&gt;1,1,0))</f>
        <v>0</v>
      </c>
      <c r="P665" s="4" t="n">
        <f aca="false">IF(AND(A665&lt;&gt;"",J665&lt;&gt;"",M665&gt;0,N665&gt;0,O665=0),1,0)</f>
        <v>1</v>
      </c>
      <c r="Q665" s="7" t="n">
        <f aca="false">IF(P665=1,M665*N665,0)</f>
        <v>443.07</v>
      </c>
    </row>
    <row r="666" customFormat="false" ht="15" hidden="false" customHeight="false" outlineLevel="0" collapsed="false">
      <c r="A666" s="4" t="n">
        <v>10029</v>
      </c>
      <c r="B666" s="4" t="s">
        <v>1579</v>
      </c>
      <c r="C666" s="4" t="s">
        <v>155</v>
      </c>
      <c r="D666" s="4" t="s">
        <v>438</v>
      </c>
      <c r="E666" s="4" t="s">
        <v>111</v>
      </c>
      <c r="F666" s="4" t="n">
        <v>2</v>
      </c>
      <c r="G666" s="4" t="s">
        <v>1580</v>
      </c>
      <c r="H666" s="4" t="s">
        <v>47</v>
      </c>
      <c r="I666" s="4" t="s">
        <v>96</v>
      </c>
      <c r="J666" s="6" t="n">
        <f aca="false">IFERROR(DATEVALUE(B666),"")</f>
        <v>45543</v>
      </c>
      <c r="K666" s="4" t="str">
        <f aca="false">IF(A666="","",PROPER(TRIM(C666)))</f>
        <v>South</v>
      </c>
      <c r="L666" s="4" t="str">
        <f aca="false">IF(A666="","",PROPER(TRIM(D666)))</f>
        <v>Footwear</v>
      </c>
      <c r="M666" s="4" t="n">
        <f aca="false">IFERROR(VALUE(F666),0)</f>
        <v>2</v>
      </c>
      <c r="N666" s="7" t="n">
        <f aca="false">IFERROR(VALUE(SUBSTITUTE(G666,"$","")),0)</f>
        <v>92.56</v>
      </c>
      <c r="O666" s="4" t="n">
        <f aca="false">IF(A666="",0,IF(COUNTIF($A$2:A666,A666)&gt;1,1,0))</f>
        <v>0</v>
      </c>
      <c r="P666" s="4" t="n">
        <f aca="false">IF(AND(A666&lt;&gt;"",J666&lt;&gt;"",M666&gt;0,N666&gt;0,O666=0),1,0)</f>
        <v>1</v>
      </c>
      <c r="Q666" s="7" t="n">
        <f aca="false">IF(P666=1,M666*N666,0)</f>
        <v>185.12</v>
      </c>
    </row>
    <row r="667" customFormat="false" ht="15" hidden="false" customHeight="false" outlineLevel="0" collapsed="false">
      <c r="A667" s="4" t="n">
        <v>10206</v>
      </c>
      <c r="B667" s="4" t="s">
        <v>1569</v>
      </c>
      <c r="C667" s="4" t="s">
        <v>140</v>
      </c>
      <c r="D667" s="4" t="s">
        <v>58</v>
      </c>
      <c r="E667" s="4" t="s">
        <v>188</v>
      </c>
      <c r="F667" s="4" t="n">
        <v>1</v>
      </c>
      <c r="G667" s="4" t="s">
        <v>1581</v>
      </c>
      <c r="H667" s="4" t="s">
        <v>73</v>
      </c>
      <c r="I667" s="4" t="s">
        <v>1544</v>
      </c>
      <c r="J667" s="6" t="n">
        <f aca="false">IFERROR(DATEVALUE(B667),"")</f>
        <v>45644</v>
      </c>
      <c r="K667" s="4" t="str">
        <f aca="false">IF(A667="","",PROPER(TRIM(C667)))</f>
        <v>South</v>
      </c>
      <c r="L667" s="4" t="str">
        <f aca="false">IF(A667="","",PROPER(TRIM(D667)))</f>
        <v>Climbing Gear</v>
      </c>
      <c r="M667" s="4" t="n">
        <f aca="false">IFERROR(VALUE(F667),0)</f>
        <v>1</v>
      </c>
      <c r="N667" s="7" t="n">
        <f aca="false">IFERROR(VALUE(SUBSTITUTE(G667,"$","")),0)</f>
        <v>19.06</v>
      </c>
      <c r="O667" s="4" t="n">
        <f aca="false">IF(A667="",0,IF(COUNTIF($A$2:A667,A667)&gt;1,1,0))</f>
        <v>0</v>
      </c>
      <c r="P667" s="4" t="n">
        <f aca="false">IF(AND(A667&lt;&gt;"",J667&lt;&gt;"",M667&gt;0,N667&gt;0,O667=0),1,0)</f>
        <v>1</v>
      </c>
      <c r="Q667" s="7" t="n">
        <f aca="false">IF(P667=1,M667*N667,0)</f>
        <v>19.06</v>
      </c>
    </row>
    <row r="668" customFormat="false" ht="15" hidden="false" customHeight="false" outlineLevel="0" collapsed="false">
      <c r="A668" s="4" t="n">
        <v>10390</v>
      </c>
      <c r="B668" s="4" t="s">
        <v>1440</v>
      </c>
      <c r="C668" s="4" t="s">
        <v>155</v>
      </c>
      <c r="D668" s="4" t="s">
        <v>164</v>
      </c>
      <c r="E668" s="4" t="s">
        <v>243</v>
      </c>
      <c r="F668" s="4" t="n">
        <v>2</v>
      </c>
      <c r="G668" s="4" t="s">
        <v>1582</v>
      </c>
      <c r="H668" s="4" t="s">
        <v>54</v>
      </c>
      <c r="I668" s="4" t="s">
        <v>931</v>
      </c>
      <c r="J668" s="6" t="n">
        <f aca="false">IFERROR(DATEVALUE(B668),"")</f>
        <v>45335</v>
      </c>
      <c r="K668" s="4" t="str">
        <f aca="false">IF(A668="","",PROPER(TRIM(C668)))</f>
        <v>South</v>
      </c>
      <c r="L668" s="4" t="str">
        <f aca="false">IF(A668="","",PROPER(TRIM(D668)))</f>
        <v>Apparel</v>
      </c>
      <c r="M668" s="4" t="n">
        <f aca="false">IFERROR(VALUE(F668),0)</f>
        <v>2</v>
      </c>
      <c r="N668" s="7" t="n">
        <f aca="false">IFERROR(VALUE(SUBSTITUTE(G668,"$","")),0)</f>
        <v>80.28</v>
      </c>
      <c r="O668" s="4" t="n">
        <f aca="false">IF(A668="",0,IF(COUNTIF($A$2:A668,A668)&gt;1,1,0))</f>
        <v>0</v>
      </c>
      <c r="P668" s="4" t="n">
        <f aca="false">IF(AND(A668&lt;&gt;"",J668&lt;&gt;"",M668&gt;0,N668&gt;0,O668=0),1,0)</f>
        <v>1</v>
      </c>
      <c r="Q668" s="7" t="n">
        <f aca="false">IF(P668=1,M668*N668,0)</f>
        <v>160.56</v>
      </c>
    </row>
    <row r="669" customFormat="false" ht="15" hidden="false" customHeight="false" outlineLevel="0" collapsed="false">
      <c r="A669" s="4" t="n">
        <v>10455</v>
      </c>
      <c r="B669" s="4" t="s">
        <v>1583</v>
      </c>
      <c r="C669" s="4" t="s">
        <v>120</v>
      </c>
      <c r="D669" s="4" t="s">
        <v>58</v>
      </c>
      <c r="E669" s="4" t="s">
        <v>94</v>
      </c>
      <c r="F669" s="4" t="n">
        <v>4</v>
      </c>
      <c r="G669" s="4" t="s">
        <v>1584</v>
      </c>
      <c r="H669" s="4" t="s">
        <v>54</v>
      </c>
      <c r="I669" s="4" t="s">
        <v>118</v>
      </c>
      <c r="J669" s="6" t="n">
        <f aca="false">IFERROR(DATEVALUE(B669),"")</f>
        <v>45795</v>
      </c>
      <c r="K669" s="4" t="str">
        <f aca="false">IF(A669="","",PROPER(TRIM(C669)))</f>
        <v>East</v>
      </c>
      <c r="L669" s="4" t="str">
        <f aca="false">IF(A669="","",PROPER(TRIM(D669)))</f>
        <v>Climbing Gear</v>
      </c>
      <c r="M669" s="4" t="n">
        <f aca="false">IFERROR(VALUE(F669),0)</f>
        <v>4</v>
      </c>
      <c r="N669" s="7" t="n">
        <f aca="false">IFERROR(VALUE(SUBSTITUTE(G669,"$","")),0)</f>
        <v>155.39</v>
      </c>
      <c r="O669" s="4" t="n">
        <f aca="false">IF(A669="",0,IF(COUNTIF($A$2:A669,A669)&gt;1,1,0))</f>
        <v>0</v>
      </c>
      <c r="P669" s="4" t="n">
        <f aca="false">IF(AND(A669&lt;&gt;"",J669&lt;&gt;"",M669&gt;0,N669&gt;0,O669=0),1,0)</f>
        <v>1</v>
      </c>
      <c r="Q669" s="7" t="n">
        <f aca="false">IF(P669=1,M669*N669,0)</f>
        <v>621.56</v>
      </c>
    </row>
    <row r="670" customFormat="false" ht="15" hidden="false" customHeight="false" outlineLevel="0" collapsed="false">
      <c r="A670" s="4" t="n">
        <v>10528</v>
      </c>
      <c r="B670" s="4" t="s">
        <v>777</v>
      </c>
      <c r="C670" s="4" t="s">
        <v>149</v>
      </c>
      <c r="D670" s="4" t="s">
        <v>150</v>
      </c>
      <c r="E670" s="4" t="s">
        <v>151</v>
      </c>
      <c r="F670" s="4" t="n">
        <v>1</v>
      </c>
      <c r="G670" s="4" t="s">
        <v>914</v>
      </c>
      <c r="H670" s="4" t="s">
        <v>73</v>
      </c>
      <c r="I670" s="4" t="s">
        <v>915</v>
      </c>
      <c r="J670" s="6" t="n">
        <f aca="false">IFERROR(DATEVALUE(B670),"")</f>
        <v>45364</v>
      </c>
      <c r="K670" s="4" t="str">
        <f aca="false">IF(A670="","",PROPER(TRIM(C670)))</f>
        <v>East</v>
      </c>
      <c r="L670" s="4" t="str">
        <f aca="false">IF(A670="","",PROPER(TRIM(D670)))</f>
        <v>Footwear</v>
      </c>
      <c r="M670" s="4" t="n">
        <f aca="false">IFERROR(VALUE(F670),0)</f>
        <v>1</v>
      </c>
      <c r="N670" s="7" t="n">
        <f aca="false">IFERROR(VALUE(SUBSTITUTE(G670,"$","")),0)</f>
        <v>153.14</v>
      </c>
      <c r="O670" s="4" t="n">
        <f aca="false">IF(A670="",0,IF(COUNTIF($A$2:A670,A670)&gt;1,1,0))</f>
        <v>1</v>
      </c>
      <c r="P670" s="4" t="n">
        <f aca="false">IF(AND(A670&lt;&gt;"",J670&lt;&gt;"",M670&gt;0,N670&gt;0,O670=0),1,0)</f>
        <v>0</v>
      </c>
      <c r="Q670" s="7" t="n">
        <f aca="false">IF(P670=1,M670*N670,0)</f>
        <v>0</v>
      </c>
    </row>
    <row r="671" customFormat="false" ht="15" hidden="false" customHeight="false" outlineLevel="0" collapsed="false">
      <c r="A671" s="4" t="n">
        <v>10599</v>
      </c>
      <c r="B671" s="4" t="s">
        <v>625</v>
      </c>
      <c r="C671" s="4" t="s">
        <v>50</v>
      </c>
      <c r="D671" s="4" t="s">
        <v>575</v>
      </c>
      <c r="E671" s="4" t="s">
        <v>52</v>
      </c>
      <c r="F671" s="4" t="n">
        <v>1</v>
      </c>
      <c r="G671" s="4" t="s">
        <v>626</v>
      </c>
      <c r="H671" s="4" t="s">
        <v>47</v>
      </c>
      <c r="I671" s="4" t="s">
        <v>627</v>
      </c>
      <c r="J671" s="6" t="n">
        <f aca="false">IFERROR(DATEVALUE(B671),"")</f>
        <v>45812</v>
      </c>
      <c r="K671" s="4" t="str">
        <f aca="false">IF(A671="","",PROPER(TRIM(C671)))</f>
        <v>Midwest</v>
      </c>
      <c r="L671" s="4" t="str">
        <f aca="false">IF(A671="","",PROPER(TRIM(D671)))</f>
        <v>Accessories</v>
      </c>
      <c r="M671" s="4" t="n">
        <f aca="false">IFERROR(VALUE(F671),0)</f>
        <v>1</v>
      </c>
      <c r="N671" s="7" t="n">
        <f aca="false">IFERROR(VALUE(SUBSTITUTE(G671,"$","")),0)</f>
        <v>93.98</v>
      </c>
      <c r="O671" s="4" t="n">
        <f aca="false">IF(A671="",0,IF(COUNTIF($A$2:A671,A671)&gt;1,1,0))</f>
        <v>1</v>
      </c>
      <c r="P671" s="4" t="n">
        <f aca="false">IF(AND(A671&lt;&gt;"",J671&lt;&gt;"",M671&gt;0,N671&gt;0,O671=0),1,0)</f>
        <v>0</v>
      </c>
      <c r="Q671" s="7" t="n">
        <f aca="false">IF(P671=1,M671*N671,0)</f>
        <v>0</v>
      </c>
    </row>
    <row r="672" customFormat="false" ht="15" hidden="false" customHeight="false" outlineLevel="0" collapsed="false">
      <c r="A672" s="4" t="n">
        <v>10288</v>
      </c>
      <c r="B672" s="4" t="s">
        <v>1585</v>
      </c>
      <c r="C672" s="4" t="s">
        <v>57</v>
      </c>
      <c r="D672" s="4" t="s">
        <v>64</v>
      </c>
      <c r="E672" s="4" t="s">
        <v>151</v>
      </c>
      <c r="F672" s="4" t="n">
        <v>1</v>
      </c>
      <c r="G672" s="4" t="s">
        <v>1586</v>
      </c>
      <c r="H672" s="4" t="s">
        <v>54</v>
      </c>
      <c r="I672" s="4" t="s">
        <v>153</v>
      </c>
      <c r="J672" s="6" t="n">
        <f aca="false">IFERROR(DATEVALUE(B672),"")</f>
        <v>45357</v>
      </c>
      <c r="K672" s="4" t="str">
        <f aca="false">IF(A672="","",PROPER(TRIM(C672)))</f>
        <v>West</v>
      </c>
      <c r="L672" s="4" t="str">
        <f aca="false">IF(A672="","",PROPER(TRIM(D672)))</f>
        <v>Footwear</v>
      </c>
      <c r="M672" s="4" t="n">
        <f aca="false">IFERROR(VALUE(F672),0)</f>
        <v>1</v>
      </c>
      <c r="N672" s="7" t="n">
        <f aca="false">IFERROR(VALUE(SUBSTITUTE(G672,"$","")),0)</f>
        <v>146.39</v>
      </c>
      <c r="O672" s="4" t="n">
        <f aca="false">IF(A672="",0,IF(COUNTIF($A$2:A672,A672)&gt;1,1,0))</f>
        <v>0</v>
      </c>
      <c r="P672" s="4" t="n">
        <f aca="false">IF(AND(A672&lt;&gt;"",J672&lt;&gt;"",M672&gt;0,N672&gt;0,O672=0),1,0)</f>
        <v>1</v>
      </c>
      <c r="Q672" s="7" t="n">
        <f aca="false">IF(P672=1,M672*N672,0)</f>
        <v>146.39</v>
      </c>
    </row>
    <row r="673" customFormat="false" ht="15" hidden="false" customHeight="false" outlineLevel="0" collapsed="false">
      <c r="A673" s="4" t="n">
        <v>10345</v>
      </c>
      <c r="B673" s="4" t="s">
        <v>1587</v>
      </c>
      <c r="C673" s="4" t="s">
        <v>120</v>
      </c>
      <c r="D673" s="4" t="s">
        <v>129</v>
      </c>
      <c r="E673" s="4" t="s">
        <v>188</v>
      </c>
      <c r="F673" s="4" t="n">
        <v>1</v>
      </c>
      <c r="G673" s="4" t="s">
        <v>1588</v>
      </c>
      <c r="H673" s="4" t="s">
        <v>73</v>
      </c>
      <c r="I673" s="4" t="s">
        <v>227</v>
      </c>
      <c r="J673" s="6" t="n">
        <f aca="false">IFERROR(DATEVALUE(B673),"")</f>
        <v>45475</v>
      </c>
      <c r="K673" s="4" t="str">
        <f aca="false">IF(A673="","",PROPER(TRIM(C673)))</f>
        <v>East</v>
      </c>
      <c r="L673" s="4" t="str">
        <f aca="false">IF(A673="","",PROPER(TRIM(D673)))</f>
        <v>Climbing Gear</v>
      </c>
      <c r="M673" s="4" t="n">
        <f aca="false">IFERROR(VALUE(F673),0)</f>
        <v>1</v>
      </c>
      <c r="N673" s="7" t="n">
        <f aca="false">IFERROR(VALUE(SUBSTITUTE(G673,"$","")),0)</f>
        <v>20.1</v>
      </c>
      <c r="O673" s="4" t="n">
        <f aca="false">IF(A673="",0,IF(COUNTIF($A$2:A673,A673)&gt;1,1,0))</f>
        <v>0</v>
      </c>
      <c r="P673" s="4" t="n">
        <f aca="false">IF(AND(A673&lt;&gt;"",J673&lt;&gt;"",M673&gt;0,N673&gt;0,O673=0),1,0)</f>
        <v>1</v>
      </c>
      <c r="Q673" s="7" t="n">
        <f aca="false">IF(P673=1,M673*N673,0)</f>
        <v>20.1</v>
      </c>
    </row>
    <row r="674" customFormat="false" ht="15" hidden="false" customHeight="false" outlineLevel="0" collapsed="false">
      <c r="A674" s="4" t="n">
        <v>10579</v>
      </c>
      <c r="B674" s="4" t="s">
        <v>1589</v>
      </c>
      <c r="C674" s="4" t="s">
        <v>178</v>
      </c>
      <c r="D674" s="4" t="s">
        <v>58</v>
      </c>
      <c r="E674" s="4" t="s">
        <v>59</v>
      </c>
      <c r="F674" s="4" t="n">
        <v>1</v>
      </c>
      <c r="G674" s="4" t="s">
        <v>1590</v>
      </c>
      <c r="H674" s="4" t="s">
        <v>47</v>
      </c>
      <c r="I674" s="4" t="s">
        <v>1224</v>
      </c>
      <c r="J674" s="6" t="n">
        <f aca="false">IFERROR(DATEVALUE(B674),"")</f>
        <v>45801</v>
      </c>
      <c r="K674" s="4" t="str">
        <f aca="false">IF(A674="","",PROPER(TRIM(C674)))</f>
        <v>South</v>
      </c>
      <c r="L674" s="4" t="str">
        <f aca="false">IF(A674="","",PROPER(TRIM(D674)))</f>
        <v>Climbing Gear</v>
      </c>
      <c r="M674" s="4" t="n">
        <f aca="false">IFERROR(VALUE(F674),0)</f>
        <v>1</v>
      </c>
      <c r="N674" s="7" t="n">
        <f aca="false">IFERROR(VALUE(SUBSTITUTE(G674,"$","")),0)</f>
        <v>44.28</v>
      </c>
      <c r="O674" s="4" t="n">
        <f aca="false">IF(A674="",0,IF(COUNTIF($A$2:A674,A674)&gt;1,1,0))</f>
        <v>0</v>
      </c>
      <c r="P674" s="4" t="n">
        <f aca="false">IF(AND(A674&lt;&gt;"",J674&lt;&gt;"",M674&gt;0,N674&gt;0,O674=0),1,0)</f>
        <v>1</v>
      </c>
      <c r="Q674" s="7" t="n">
        <f aca="false">IF(P674=1,M674*N674,0)</f>
        <v>44.28</v>
      </c>
    </row>
    <row r="675" customFormat="false" ht="15" hidden="false" customHeight="false" outlineLevel="0" collapsed="false">
      <c r="A675" s="4" t="n">
        <v>10241</v>
      </c>
      <c r="B675" s="4" t="s">
        <v>1591</v>
      </c>
      <c r="C675" s="4" t="s">
        <v>69</v>
      </c>
      <c r="D675" s="4" t="s">
        <v>141</v>
      </c>
      <c r="E675" s="4" t="s">
        <v>89</v>
      </c>
      <c r="F675" s="4" t="n">
        <v>1</v>
      </c>
      <c r="G675" s="4" t="s">
        <v>1592</v>
      </c>
      <c r="H675" s="4" t="s">
        <v>47</v>
      </c>
      <c r="I675" s="4" t="s">
        <v>232</v>
      </c>
      <c r="J675" s="6" t="n">
        <f aca="false">IFERROR(DATEVALUE(B675),"")</f>
        <v>45805</v>
      </c>
      <c r="K675" s="4" t="str">
        <f aca="false">IF(A675="","",PROPER(TRIM(C675)))</f>
        <v>East</v>
      </c>
      <c r="L675" s="4" t="str">
        <f aca="false">IF(A675="","",PROPER(TRIM(D675)))</f>
        <v>Apparel</v>
      </c>
      <c r="M675" s="4" t="n">
        <f aca="false">IFERROR(VALUE(F675),0)</f>
        <v>1</v>
      </c>
      <c r="N675" s="7" t="n">
        <f aca="false">IFERROR(VALUE(SUBSTITUTE(G675,"$","")),0)</f>
        <v>64.89</v>
      </c>
      <c r="O675" s="4" t="n">
        <f aca="false">IF(A675="",0,IF(COUNTIF($A$2:A675,A675)&gt;1,1,0))</f>
        <v>0</v>
      </c>
      <c r="P675" s="4" t="n">
        <f aca="false">IF(AND(A675&lt;&gt;"",J675&lt;&gt;"",M675&gt;0,N675&gt;0,O675=0),1,0)</f>
        <v>1</v>
      </c>
      <c r="Q675" s="7" t="n">
        <f aca="false">IF(P675=1,M675*N675,0)</f>
        <v>64.89</v>
      </c>
    </row>
    <row r="676" customFormat="false" ht="15" hidden="false" customHeight="false" outlineLevel="0" collapsed="false">
      <c r="A676" s="4" t="n">
        <v>10030</v>
      </c>
      <c r="B676" s="4" t="s">
        <v>1593</v>
      </c>
      <c r="C676" s="4" t="s">
        <v>57</v>
      </c>
      <c r="D676" s="4" t="s">
        <v>217</v>
      </c>
      <c r="E676" s="4" t="s">
        <v>89</v>
      </c>
      <c r="F676" s="4" t="n">
        <v>1</v>
      </c>
      <c r="G676" s="4" t="s">
        <v>1594</v>
      </c>
      <c r="H676" s="4" t="s">
        <v>47</v>
      </c>
      <c r="I676" s="4" t="s">
        <v>1504</v>
      </c>
      <c r="J676" s="6" t="n">
        <f aca="false">IFERROR(DATEVALUE(B676),"")</f>
        <v>45647</v>
      </c>
      <c r="K676" s="4" t="str">
        <f aca="false">IF(A676="","",PROPER(TRIM(C676)))</f>
        <v>West</v>
      </c>
      <c r="L676" s="4" t="str">
        <f aca="false">IF(A676="","",PROPER(TRIM(D676)))</f>
        <v>Apparel</v>
      </c>
      <c r="M676" s="4" t="n">
        <f aca="false">IFERROR(VALUE(F676),0)</f>
        <v>1</v>
      </c>
      <c r="N676" s="7" t="n">
        <f aca="false">IFERROR(VALUE(SUBSTITUTE(G676,"$","")),0)</f>
        <v>60.06</v>
      </c>
      <c r="O676" s="4" t="n">
        <f aca="false">IF(A676="",0,IF(COUNTIF($A$2:A676,A676)&gt;1,1,0))</f>
        <v>0</v>
      </c>
      <c r="P676" s="4" t="n">
        <f aca="false">IF(AND(A676&lt;&gt;"",J676&lt;&gt;"",M676&gt;0,N676&gt;0,O676=0),1,0)</f>
        <v>1</v>
      </c>
      <c r="Q676" s="7" t="n">
        <f aca="false">IF(P676=1,M676*N676,0)</f>
        <v>60.06</v>
      </c>
    </row>
    <row r="677" customFormat="false" ht="15" hidden="false" customHeight="false" outlineLevel="0" collapsed="false">
      <c r="A677" s="4" t="n">
        <v>10695</v>
      </c>
      <c r="B677" s="4" t="s">
        <v>1595</v>
      </c>
      <c r="C677" s="4" t="s">
        <v>50</v>
      </c>
      <c r="D677" s="4" t="s">
        <v>70</v>
      </c>
      <c r="E677" s="4" t="s">
        <v>203</v>
      </c>
      <c r="F677" s="4" t="n">
        <v>1</v>
      </c>
      <c r="G677" s="4" t="s">
        <v>1596</v>
      </c>
      <c r="H677" s="4" t="s">
        <v>54</v>
      </c>
      <c r="I677" s="4" t="s">
        <v>1235</v>
      </c>
      <c r="J677" s="6" t="n">
        <f aca="false">IFERROR(DATEVALUE(B677),"")</f>
        <v>45387</v>
      </c>
      <c r="K677" s="4" t="str">
        <f aca="false">IF(A677="","",PROPER(TRIM(C677)))</f>
        <v>Midwest</v>
      </c>
      <c r="L677" s="4" t="str">
        <f aca="false">IF(A677="","",PROPER(TRIM(D677)))</f>
        <v>Camping Gear</v>
      </c>
      <c r="M677" s="4" t="n">
        <f aca="false">IFERROR(VALUE(F677),0)</f>
        <v>1</v>
      </c>
      <c r="N677" s="7" t="n">
        <f aca="false">IFERROR(VALUE(SUBSTITUTE(G677,"$","")),0)</f>
        <v>203.64</v>
      </c>
      <c r="O677" s="4" t="n">
        <f aca="false">IF(A677="",0,IF(COUNTIF($A$2:A677,A677)&gt;1,1,0))</f>
        <v>0</v>
      </c>
      <c r="P677" s="4" t="n">
        <f aca="false">IF(AND(A677&lt;&gt;"",J677&lt;&gt;"",M677&gt;0,N677&gt;0,O677=0),1,0)</f>
        <v>1</v>
      </c>
      <c r="Q677" s="7" t="n">
        <f aca="false">IF(P677=1,M677*N677,0)</f>
        <v>203.64</v>
      </c>
    </row>
    <row r="678" customFormat="false" ht="15" hidden="false" customHeight="false" outlineLevel="0" collapsed="false">
      <c r="A678" s="4" t="n">
        <v>10692</v>
      </c>
      <c r="B678" s="4" t="s">
        <v>1597</v>
      </c>
      <c r="C678" s="4" t="s">
        <v>178</v>
      </c>
      <c r="D678" s="4" t="s">
        <v>164</v>
      </c>
      <c r="E678" s="4" t="s">
        <v>116</v>
      </c>
      <c r="F678" s="4" t="n">
        <v>1</v>
      </c>
      <c r="G678" s="4" t="s">
        <v>1598</v>
      </c>
      <c r="H678" s="4" t="s">
        <v>73</v>
      </c>
      <c r="I678" s="4" t="s">
        <v>918</v>
      </c>
      <c r="J678" s="6" t="n">
        <f aca="false">IFERROR(DATEVALUE(B678),"")</f>
        <v>45701</v>
      </c>
      <c r="K678" s="4" t="str">
        <f aca="false">IF(A678="","",PROPER(TRIM(C678)))</f>
        <v>South</v>
      </c>
      <c r="L678" s="4" t="str">
        <f aca="false">IF(A678="","",PROPER(TRIM(D678)))</f>
        <v>Apparel</v>
      </c>
      <c r="M678" s="4" t="n">
        <f aca="false">IFERROR(VALUE(F678),0)</f>
        <v>1</v>
      </c>
      <c r="N678" s="7" t="n">
        <f aca="false">IFERROR(VALUE(SUBSTITUTE(G678,"$","")),0)</f>
        <v>67.7</v>
      </c>
      <c r="O678" s="4" t="n">
        <f aca="false">IF(A678="",0,IF(COUNTIF($A$2:A678,A678)&gt;1,1,0))</f>
        <v>0</v>
      </c>
      <c r="P678" s="4" t="n">
        <f aca="false">IF(AND(A678&lt;&gt;"",J678&lt;&gt;"",M678&gt;0,N678&gt;0,O678=0),1,0)</f>
        <v>1</v>
      </c>
      <c r="Q678" s="7" t="n">
        <f aca="false">IF(P678=1,M678*N678,0)</f>
        <v>67.7</v>
      </c>
    </row>
    <row r="679" customFormat="false" ht="15" hidden="false" customHeight="false" outlineLevel="0" collapsed="false">
      <c r="A679" s="4" t="n">
        <v>10264</v>
      </c>
      <c r="B679" s="4" t="s">
        <v>1599</v>
      </c>
      <c r="C679" s="4" t="s">
        <v>435</v>
      </c>
      <c r="D679" s="4" t="s">
        <v>250</v>
      </c>
      <c r="E679" s="4" t="s">
        <v>448</v>
      </c>
      <c r="F679" s="4" t="n">
        <v>1</v>
      </c>
      <c r="G679" s="4" t="s">
        <v>1600</v>
      </c>
      <c r="H679" s="4" t="s">
        <v>54</v>
      </c>
      <c r="I679" s="4" t="s">
        <v>193</v>
      </c>
      <c r="J679" s="6" t="n">
        <f aca="false">IFERROR(DATEVALUE(B679),"")</f>
        <v>45685</v>
      </c>
      <c r="K679" s="4" t="str">
        <f aca="false">IF(A679="","",PROPER(TRIM(C679)))</f>
        <v>Midwest</v>
      </c>
      <c r="L679" s="4" t="str">
        <f aca="false">IF(A679="","",PROPER(TRIM(D679)))</f>
        <v>Camping Gear</v>
      </c>
      <c r="M679" s="4" t="n">
        <f aca="false">IFERROR(VALUE(F679),0)</f>
        <v>1</v>
      </c>
      <c r="N679" s="7" t="n">
        <f aca="false">IFERROR(VALUE(SUBSTITUTE(G679,"$","")),0)</f>
        <v>201.74</v>
      </c>
      <c r="O679" s="4" t="n">
        <f aca="false">IF(A679="",0,IF(COUNTIF($A$2:A679,A679)&gt;1,1,0))</f>
        <v>0</v>
      </c>
      <c r="P679" s="4" t="n">
        <f aca="false">IF(AND(A679&lt;&gt;"",J679&lt;&gt;"",M679&gt;0,N679&gt;0,O679=0),1,0)</f>
        <v>1</v>
      </c>
      <c r="Q679" s="7" t="n">
        <f aca="false">IF(P679=1,M679*N679,0)</f>
        <v>201.74</v>
      </c>
    </row>
    <row r="680" customFormat="false" ht="15" hidden="false" customHeight="false" outlineLevel="0" collapsed="false">
      <c r="A680" s="4" t="n">
        <v>10760</v>
      </c>
      <c r="B680" s="4" t="s">
        <v>1601</v>
      </c>
      <c r="C680" s="4" t="s">
        <v>155</v>
      </c>
      <c r="D680" s="4" t="s">
        <v>64</v>
      </c>
      <c r="E680" s="4" t="s">
        <v>151</v>
      </c>
      <c r="F680" s="4" t="n">
        <v>3</v>
      </c>
      <c r="G680" s="4" t="s">
        <v>1602</v>
      </c>
      <c r="H680" s="4" t="s">
        <v>54</v>
      </c>
      <c r="I680" s="4" t="s">
        <v>176</v>
      </c>
      <c r="J680" s="6" t="n">
        <f aca="false">IFERROR(DATEVALUE(B680),"")</f>
        <v>45485</v>
      </c>
      <c r="K680" s="4" t="str">
        <f aca="false">IF(A680="","",PROPER(TRIM(C680)))</f>
        <v>South</v>
      </c>
      <c r="L680" s="4" t="str">
        <f aca="false">IF(A680="","",PROPER(TRIM(D680)))</f>
        <v>Footwear</v>
      </c>
      <c r="M680" s="4" t="n">
        <f aca="false">IFERROR(VALUE(F680),0)</f>
        <v>3</v>
      </c>
      <c r="N680" s="7" t="n">
        <f aca="false">IFERROR(VALUE(SUBSTITUTE(G680,"$","")),0)</f>
        <v>140.71</v>
      </c>
      <c r="O680" s="4" t="n">
        <f aca="false">IF(A680="",0,IF(COUNTIF($A$2:A680,A680)&gt;1,1,0))</f>
        <v>0</v>
      </c>
      <c r="P680" s="4" t="n">
        <f aca="false">IF(AND(A680&lt;&gt;"",J680&lt;&gt;"",M680&gt;0,N680&gt;0,O680=0),1,0)</f>
        <v>1</v>
      </c>
      <c r="Q680" s="7" t="n">
        <f aca="false">IF(P680=1,M680*N680,0)</f>
        <v>422.13</v>
      </c>
    </row>
    <row r="681" customFormat="false" ht="15" hidden="false" customHeight="false" outlineLevel="0" collapsed="false">
      <c r="A681" s="4" t="n">
        <v>10069</v>
      </c>
      <c r="B681" s="4" t="s">
        <v>474</v>
      </c>
      <c r="C681" s="4" t="s">
        <v>155</v>
      </c>
      <c r="D681" s="4" t="s">
        <v>230</v>
      </c>
      <c r="E681" s="4" t="s">
        <v>243</v>
      </c>
      <c r="F681" s="4" t="n">
        <v>1</v>
      </c>
      <c r="G681" s="4" t="s">
        <v>1603</v>
      </c>
      <c r="H681" s="4" t="s">
        <v>73</v>
      </c>
      <c r="I681" s="4" t="s">
        <v>1405</v>
      </c>
      <c r="J681" s="6" t="n">
        <f aca="false">IFERROR(DATEVALUE(B681),"")</f>
        <v>45336</v>
      </c>
      <c r="K681" s="4" t="str">
        <f aca="false">IF(A681="","",PROPER(TRIM(C681)))</f>
        <v>South</v>
      </c>
      <c r="L681" s="4" t="str">
        <f aca="false">IF(A681="","",PROPER(TRIM(D681)))</f>
        <v>Apparel</v>
      </c>
      <c r="M681" s="4" t="n">
        <f aca="false">IFERROR(VALUE(F681),0)</f>
        <v>1</v>
      </c>
      <c r="N681" s="7" t="n">
        <f aca="false">IFERROR(VALUE(SUBSTITUTE(G681,"$","")),0)</f>
        <v>69.87</v>
      </c>
      <c r="O681" s="4" t="n">
        <f aca="false">IF(A681="",0,IF(COUNTIF($A$2:A681,A681)&gt;1,1,0))</f>
        <v>0</v>
      </c>
      <c r="P681" s="4" t="n">
        <f aca="false">IF(AND(A681&lt;&gt;"",J681&lt;&gt;"",M681&gt;0,N681&gt;0,O681=0),1,0)</f>
        <v>1</v>
      </c>
      <c r="Q681" s="7" t="n">
        <f aca="false">IF(P681=1,M681*N681,0)</f>
        <v>69.87</v>
      </c>
    </row>
    <row r="682" customFormat="false" ht="15" hidden="false" customHeight="false" outlineLevel="0" collapsed="false">
      <c r="A682" s="4" t="n">
        <v>10441</v>
      </c>
      <c r="B682" s="4" t="s">
        <v>1604</v>
      </c>
      <c r="C682" s="4" t="s">
        <v>149</v>
      </c>
      <c r="D682" s="4" t="s">
        <v>124</v>
      </c>
      <c r="E682" s="4" t="s">
        <v>125</v>
      </c>
      <c r="F682" s="4" t="n">
        <v>2</v>
      </c>
      <c r="G682" s="4" t="s">
        <v>1605</v>
      </c>
      <c r="H682" s="4" t="s">
        <v>47</v>
      </c>
      <c r="I682" s="4" t="s">
        <v>873</v>
      </c>
      <c r="J682" s="6" t="n">
        <f aca="false">IFERROR(DATEVALUE(B682),"")</f>
        <v>45640</v>
      </c>
      <c r="K682" s="4" t="str">
        <f aca="false">IF(A682="","",PROPER(TRIM(C682)))</f>
        <v>East</v>
      </c>
      <c r="L682" s="4" t="str">
        <f aca="false">IF(A682="","",PROPER(TRIM(D682)))</f>
        <v>Climbing Gear</v>
      </c>
      <c r="M682" s="4" t="n">
        <f aca="false">IFERROR(VALUE(F682),0)</f>
        <v>2</v>
      </c>
      <c r="N682" s="7" t="n">
        <f aca="false">IFERROR(VALUE(SUBSTITUTE(G682,"$","")),0)</f>
        <v>86.23</v>
      </c>
      <c r="O682" s="4" t="n">
        <f aca="false">IF(A682="",0,IF(COUNTIF($A$2:A682,A682)&gt;1,1,0))</f>
        <v>0</v>
      </c>
      <c r="P682" s="4" t="n">
        <f aca="false">IF(AND(A682&lt;&gt;"",J682&lt;&gt;"",M682&gt;0,N682&gt;0,O682=0),1,0)</f>
        <v>1</v>
      </c>
      <c r="Q682" s="7" t="n">
        <f aca="false">IF(P682=1,M682*N682,0)</f>
        <v>172.46</v>
      </c>
    </row>
    <row r="683" customFormat="false" ht="15" hidden="false" customHeight="false" outlineLevel="0" collapsed="false">
      <c r="A683" s="4" t="n">
        <v>10240</v>
      </c>
      <c r="B683" s="4" t="s">
        <v>1606</v>
      </c>
      <c r="C683" s="4" t="s">
        <v>93</v>
      </c>
      <c r="D683" s="4" t="s">
        <v>230</v>
      </c>
      <c r="E683" s="4" t="s">
        <v>142</v>
      </c>
      <c r="F683" s="4" t="n">
        <v>2</v>
      </c>
      <c r="G683" s="4" t="s">
        <v>1607</v>
      </c>
      <c r="H683" s="4" t="s">
        <v>73</v>
      </c>
      <c r="I683" s="4" t="s">
        <v>428</v>
      </c>
      <c r="J683" s="6" t="n">
        <f aca="false">IFERROR(DATEVALUE(B683),"")</f>
        <v>45568</v>
      </c>
      <c r="K683" s="4" t="str">
        <f aca="false">IF(A683="","",PROPER(TRIM(C683)))</f>
        <v>West</v>
      </c>
      <c r="L683" s="4" t="str">
        <f aca="false">IF(A683="","",PROPER(TRIM(D683)))</f>
        <v>Apparel</v>
      </c>
      <c r="M683" s="4" t="n">
        <f aca="false">IFERROR(VALUE(F683),0)</f>
        <v>2</v>
      </c>
      <c r="N683" s="7" t="n">
        <f aca="false">IFERROR(VALUE(SUBSTITUTE(G683,"$","")),0)</f>
        <v>168.88</v>
      </c>
      <c r="O683" s="4" t="n">
        <f aca="false">IF(A683="",0,IF(COUNTIF($A$2:A683,A683)&gt;1,1,0))</f>
        <v>0</v>
      </c>
      <c r="P683" s="4" t="n">
        <f aca="false">IF(AND(A683&lt;&gt;"",J683&lt;&gt;"",M683&gt;0,N683&gt;0,O683=0),1,0)</f>
        <v>1</v>
      </c>
      <c r="Q683" s="7" t="n">
        <f aca="false">IF(P683=1,M683*N683,0)</f>
        <v>337.76</v>
      </c>
    </row>
    <row r="684" customFormat="false" ht="15" hidden="false" customHeight="false" outlineLevel="0" collapsed="false">
      <c r="A684" s="4" t="n">
        <v>10730</v>
      </c>
      <c r="B684" s="4" t="s">
        <v>666</v>
      </c>
      <c r="C684" s="4" t="s">
        <v>149</v>
      </c>
      <c r="D684" s="4" t="s">
        <v>64</v>
      </c>
      <c r="E684" s="4" t="s">
        <v>151</v>
      </c>
      <c r="F684" s="4" t="n">
        <v>3</v>
      </c>
      <c r="G684" s="4" t="s">
        <v>1608</v>
      </c>
      <c r="H684" s="4" t="s">
        <v>47</v>
      </c>
      <c r="I684" s="4" t="s">
        <v>373</v>
      </c>
      <c r="J684" s="6" t="n">
        <f aca="false">IFERROR(DATEVALUE(B684),"")</f>
        <v>45680</v>
      </c>
      <c r="K684" s="4" t="str">
        <f aca="false">IF(A684="","",PROPER(TRIM(C684)))</f>
        <v>East</v>
      </c>
      <c r="L684" s="4" t="str">
        <f aca="false">IF(A684="","",PROPER(TRIM(D684)))</f>
        <v>Footwear</v>
      </c>
      <c r="M684" s="4" t="n">
        <f aca="false">IFERROR(VALUE(F684),0)</f>
        <v>3</v>
      </c>
      <c r="N684" s="7" t="n">
        <f aca="false">IFERROR(VALUE(SUBSTITUTE(G684,"$","")),0)</f>
        <v>140.56</v>
      </c>
      <c r="O684" s="4" t="n">
        <f aca="false">IF(A684="",0,IF(COUNTIF($A$2:A684,A684)&gt;1,1,0))</f>
        <v>0</v>
      </c>
      <c r="P684" s="4" t="n">
        <f aca="false">IF(AND(A684&lt;&gt;"",J684&lt;&gt;"",M684&gt;0,N684&gt;0,O684=0),1,0)</f>
        <v>1</v>
      </c>
      <c r="Q684" s="7" t="n">
        <f aca="false">IF(P684=1,M684*N684,0)</f>
        <v>421.68</v>
      </c>
    </row>
    <row r="685" customFormat="false" ht="15" hidden="false" customHeight="false" outlineLevel="0" collapsed="false">
      <c r="A685" s="4" t="n">
        <v>10596</v>
      </c>
      <c r="B685" s="4" t="s">
        <v>1609</v>
      </c>
      <c r="C685" s="4" t="s">
        <v>69</v>
      </c>
      <c r="D685" s="4" t="s">
        <v>171</v>
      </c>
      <c r="E685" s="4" t="s">
        <v>251</v>
      </c>
      <c r="F685" s="4" t="n">
        <v>5</v>
      </c>
      <c r="G685" s="4" t="s">
        <v>1610</v>
      </c>
      <c r="H685" s="4" t="s">
        <v>54</v>
      </c>
      <c r="I685" s="4" t="s">
        <v>135</v>
      </c>
      <c r="J685" s="6" t="n">
        <f aca="false">IFERROR(DATEVALUE(B685),"")</f>
        <v>45414</v>
      </c>
      <c r="K685" s="4" t="str">
        <f aca="false">IF(A685="","",PROPER(TRIM(C685)))</f>
        <v>East</v>
      </c>
      <c r="L685" s="4" t="str">
        <f aca="false">IF(A685="","",PROPER(TRIM(D685)))</f>
        <v>Camping Gear</v>
      </c>
      <c r="M685" s="4" t="n">
        <f aca="false">IFERROR(VALUE(F685),0)</f>
        <v>5</v>
      </c>
      <c r="N685" s="7" t="n">
        <f aca="false">IFERROR(VALUE(SUBSTITUTE(G685,"$","")),0)</f>
        <v>89.05</v>
      </c>
      <c r="O685" s="4" t="n">
        <f aca="false">IF(A685="",0,IF(COUNTIF($A$2:A685,A685)&gt;1,1,0))</f>
        <v>0</v>
      </c>
      <c r="P685" s="4" t="n">
        <f aca="false">IF(AND(A685&lt;&gt;"",J685&lt;&gt;"",M685&gt;0,N685&gt;0,O685=0),1,0)</f>
        <v>1</v>
      </c>
      <c r="Q685" s="7" t="n">
        <f aca="false">IF(P685=1,M685*N685,0)</f>
        <v>445.25</v>
      </c>
    </row>
    <row r="686" customFormat="false" ht="15" hidden="false" customHeight="false" outlineLevel="0" collapsed="false">
      <c r="A686" s="4" t="n">
        <v>10512</v>
      </c>
      <c r="B686" s="4" t="s">
        <v>592</v>
      </c>
      <c r="C686" s="4" t="s">
        <v>149</v>
      </c>
      <c r="D686" s="4" t="s">
        <v>438</v>
      </c>
      <c r="E686" s="4" t="s">
        <v>151</v>
      </c>
      <c r="F686" s="4" t="n">
        <v>3</v>
      </c>
      <c r="G686" s="4" t="s">
        <v>593</v>
      </c>
      <c r="H686" s="4" t="s">
        <v>54</v>
      </c>
      <c r="I686" s="4" t="s">
        <v>594</v>
      </c>
      <c r="J686" s="6" t="n">
        <f aca="false">IFERROR(DATEVALUE(B686),"")</f>
        <v>45328</v>
      </c>
      <c r="K686" s="4" t="str">
        <f aca="false">IF(A686="","",PROPER(TRIM(C686)))</f>
        <v>East</v>
      </c>
      <c r="L686" s="4" t="str">
        <f aca="false">IF(A686="","",PROPER(TRIM(D686)))</f>
        <v>Footwear</v>
      </c>
      <c r="M686" s="4" t="n">
        <f aca="false">IFERROR(VALUE(F686),0)</f>
        <v>3</v>
      </c>
      <c r="N686" s="7" t="n">
        <f aca="false">IFERROR(VALUE(SUBSTITUTE(G686,"$","")),0)</f>
        <v>140.3</v>
      </c>
      <c r="O686" s="4" t="n">
        <f aca="false">IF(A686="",0,IF(COUNTIF($A$2:A686,A686)&gt;1,1,0))</f>
        <v>1</v>
      </c>
      <c r="P686" s="4" t="n">
        <f aca="false">IF(AND(A686&lt;&gt;"",J686&lt;&gt;"",M686&gt;0,N686&gt;0,O686=0),1,0)</f>
        <v>0</v>
      </c>
      <c r="Q686" s="7" t="n">
        <f aca="false">IF(P686=1,M686*N686,0)</f>
        <v>0</v>
      </c>
    </row>
    <row r="687" customFormat="false" ht="15" hidden="false" customHeight="false" outlineLevel="0" collapsed="false">
      <c r="A687" s="4" t="n">
        <v>10345</v>
      </c>
      <c r="B687" s="4" t="s">
        <v>1587</v>
      </c>
      <c r="C687" s="4" t="s">
        <v>120</v>
      </c>
      <c r="D687" s="4" t="s">
        <v>129</v>
      </c>
      <c r="E687" s="4" t="s">
        <v>188</v>
      </c>
      <c r="F687" s="4" t="n">
        <v>1</v>
      </c>
      <c r="G687" s="4" t="s">
        <v>1588</v>
      </c>
      <c r="H687" s="4" t="s">
        <v>73</v>
      </c>
      <c r="I687" s="4" t="s">
        <v>227</v>
      </c>
      <c r="J687" s="6" t="n">
        <f aca="false">IFERROR(DATEVALUE(B687),"")</f>
        <v>45475</v>
      </c>
      <c r="K687" s="4" t="str">
        <f aca="false">IF(A687="","",PROPER(TRIM(C687)))</f>
        <v>East</v>
      </c>
      <c r="L687" s="4" t="str">
        <f aca="false">IF(A687="","",PROPER(TRIM(D687)))</f>
        <v>Climbing Gear</v>
      </c>
      <c r="M687" s="4" t="n">
        <f aca="false">IFERROR(VALUE(F687),0)</f>
        <v>1</v>
      </c>
      <c r="N687" s="7" t="n">
        <f aca="false">IFERROR(VALUE(SUBSTITUTE(G687,"$","")),0)</f>
        <v>20.1</v>
      </c>
      <c r="O687" s="4" t="n">
        <f aca="false">IF(A687="",0,IF(COUNTIF($A$2:A687,A687)&gt;1,1,0))</f>
        <v>1</v>
      </c>
      <c r="P687" s="4" t="n">
        <f aca="false">IF(AND(A687&lt;&gt;"",J687&lt;&gt;"",M687&gt;0,N687&gt;0,O687=0),1,0)</f>
        <v>0</v>
      </c>
      <c r="Q687" s="7" t="n">
        <f aca="false">IF(P687=1,M687*N687,0)</f>
        <v>0</v>
      </c>
    </row>
    <row r="688" customFormat="false" ht="15" hidden="false" customHeight="false" outlineLevel="0" collapsed="false">
      <c r="A688" s="4" t="n">
        <v>10349</v>
      </c>
      <c r="B688" s="4" t="s">
        <v>1611</v>
      </c>
      <c r="C688" s="4" t="s">
        <v>178</v>
      </c>
      <c r="D688" s="4" t="s">
        <v>101</v>
      </c>
      <c r="E688" s="4" t="s">
        <v>45</v>
      </c>
      <c r="F688" s="4" t="n">
        <v>2</v>
      </c>
      <c r="G688" s="4" t="s">
        <v>1612</v>
      </c>
      <c r="H688" s="4" t="s">
        <v>54</v>
      </c>
      <c r="I688" s="4" t="s">
        <v>978</v>
      </c>
      <c r="J688" s="6" t="n">
        <f aca="false">IFERROR(DATEVALUE(B688),"")</f>
        <v>45662</v>
      </c>
      <c r="K688" s="4" t="str">
        <f aca="false">IF(A688="","",PROPER(TRIM(C688)))</f>
        <v>South</v>
      </c>
      <c r="L688" s="4" t="str">
        <f aca="false">IF(A688="","",PROPER(TRIM(D688)))</f>
        <v>Accessories</v>
      </c>
      <c r="M688" s="4" t="n">
        <f aca="false">IFERROR(VALUE(F688),0)</f>
        <v>2</v>
      </c>
      <c r="N688" s="7" t="n">
        <f aca="false">IFERROR(VALUE(SUBSTITUTE(G688,"$","")),0)</f>
        <v>55.54</v>
      </c>
      <c r="O688" s="4" t="n">
        <f aca="false">IF(A688="",0,IF(COUNTIF($A$2:A688,A688)&gt;1,1,0))</f>
        <v>0</v>
      </c>
      <c r="P688" s="4" t="n">
        <f aca="false">IF(AND(A688&lt;&gt;"",J688&lt;&gt;"",M688&gt;0,N688&gt;0,O688=0),1,0)</f>
        <v>1</v>
      </c>
      <c r="Q688" s="7" t="n">
        <f aca="false">IF(P688=1,M688*N688,0)</f>
        <v>111.08</v>
      </c>
    </row>
    <row r="689" customFormat="false" ht="15" hidden="false" customHeight="false" outlineLevel="0" collapsed="false">
      <c r="A689" s="4" t="n">
        <v>10201</v>
      </c>
      <c r="B689" s="4" t="s">
        <v>1613</v>
      </c>
      <c r="C689" s="4" t="s">
        <v>332</v>
      </c>
      <c r="D689" s="4" t="s">
        <v>281</v>
      </c>
      <c r="E689" s="4" t="s">
        <v>448</v>
      </c>
      <c r="F689" s="4" t="n">
        <v>2</v>
      </c>
      <c r="G689" s="4" t="s">
        <v>1614</v>
      </c>
      <c r="H689" s="4" t="s">
        <v>47</v>
      </c>
      <c r="I689" s="4" t="s">
        <v>971</v>
      </c>
      <c r="J689" s="6" t="n">
        <f aca="false">IFERROR(DATEVALUE(B689),"")</f>
        <v>45716</v>
      </c>
      <c r="K689" s="4" t="str">
        <f aca="false">IF(A689="","",PROPER(TRIM(C689)))</f>
        <v>West</v>
      </c>
      <c r="L689" s="4" t="str">
        <f aca="false">IF(A689="","",PROPER(TRIM(D689)))</f>
        <v>Camping Gear</v>
      </c>
      <c r="M689" s="4" t="n">
        <f aca="false">IFERROR(VALUE(F689),0)</f>
        <v>2</v>
      </c>
      <c r="N689" s="7" t="n">
        <f aca="false">IFERROR(VALUE(SUBSTITUTE(G689,"$","")),0)</f>
        <v>173.72</v>
      </c>
      <c r="O689" s="4" t="n">
        <f aca="false">IF(A689="",0,IF(COUNTIF($A$2:A689,A689)&gt;1,1,0))</f>
        <v>0</v>
      </c>
      <c r="P689" s="4" t="n">
        <f aca="false">IF(AND(A689&lt;&gt;"",J689&lt;&gt;"",M689&gt;0,N689&gt;0,O689=0),1,0)</f>
        <v>1</v>
      </c>
      <c r="Q689" s="7" t="n">
        <f aca="false">IF(P689=1,M689*N689,0)</f>
        <v>347.44</v>
      </c>
    </row>
    <row r="690" customFormat="false" ht="15" hidden="false" customHeight="false" outlineLevel="0" collapsed="false">
      <c r="A690" s="4" t="n">
        <v>10410</v>
      </c>
      <c r="B690" s="4" t="s">
        <v>1615</v>
      </c>
      <c r="C690" s="4" t="s">
        <v>155</v>
      </c>
      <c r="D690" s="4" t="s">
        <v>217</v>
      </c>
      <c r="E690" s="4" t="s">
        <v>116</v>
      </c>
      <c r="F690" s="4" t="n">
        <v>3</v>
      </c>
      <c r="G690" s="4" t="s">
        <v>1616</v>
      </c>
      <c r="H690" s="4" t="s">
        <v>54</v>
      </c>
      <c r="I690" s="4" t="s">
        <v>1617</v>
      </c>
      <c r="J690" s="6" t="n">
        <f aca="false">IFERROR(DATEVALUE(B690),"")</f>
        <v>45621</v>
      </c>
      <c r="K690" s="4" t="str">
        <f aca="false">IF(A690="","",PROPER(TRIM(C690)))</f>
        <v>South</v>
      </c>
      <c r="L690" s="4" t="str">
        <f aca="false">IF(A690="","",PROPER(TRIM(D690)))</f>
        <v>Apparel</v>
      </c>
      <c r="M690" s="4" t="n">
        <f aca="false">IFERROR(VALUE(F690),0)</f>
        <v>3</v>
      </c>
      <c r="N690" s="7" t="n">
        <f aca="false">IFERROR(VALUE(SUBSTITUTE(G690,"$","")),0)</f>
        <v>79.94</v>
      </c>
      <c r="O690" s="4" t="n">
        <f aca="false">IF(A690="",0,IF(COUNTIF($A$2:A690,A690)&gt;1,1,0))</f>
        <v>0</v>
      </c>
      <c r="P690" s="4" t="n">
        <f aca="false">IF(AND(A690&lt;&gt;"",J690&lt;&gt;"",M690&gt;0,N690&gt;0,O690=0),1,0)</f>
        <v>1</v>
      </c>
      <c r="Q690" s="7" t="n">
        <f aca="false">IF(P690=1,M690*N690,0)</f>
        <v>239.82</v>
      </c>
    </row>
    <row r="691" customFormat="false" ht="15" hidden="false" customHeight="false" outlineLevel="0" collapsed="false">
      <c r="A691" s="4" t="n">
        <v>10491</v>
      </c>
      <c r="B691" s="4" t="s">
        <v>1618</v>
      </c>
      <c r="C691" s="4" t="s">
        <v>93</v>
      </c>
      <c r="D691" s="4" t="s">
        <v>44</v>
      </c>
      <c r="E691" s="4" t="s">
        <v>45</v>
      </c>
      <c r="F691" s="4" t="n">
        <v>1</v>
      </c>
      <c r="G691" s="4" t="s">
        <v>1619</v>
      </c>
      <c r="H691" s="4" t="s">
        <v>54</v>
      </c>
      <c r="I691" s="4" t="s">
        <v>122</v>
      </c>
      <c r="J691" s="6" t="n">
        <f aca="false">IFERROR(DATEVALUE(B691),"")</f>
        <v>45547</v>
      </c>
      <c r="K691" s="4" t="str">
        <f aca="false">IF(A691="","",PROPER(TRIM(C691)))</f>
        <v>West</v>
      </c>
      <c r="L691" s="4" t="str">
        <f aca="false">IF(A691="","",PROPER(TRIM(D691)))</f>
        <v>Accessories</v>
      </c>
      <c r="M691" s="4" t="n">
        <f aca="false">IFERROR(VALUE(F691),0)</f>
        <v>1</v>
      </c>
      <c r="N691" s="7" t="n">
        <f aca="false">IFERROR(VALUE(SUBSTITUTE(G691,"$","")),0)</f>
        <v>46.66</v>
      </c>
      <c r="O691" s="4" t="n">
        <f aca="false">IF(A691="",0,IF(COUNTIF($A$2:A691,A691)&gt;1,1,0))</f>
        <v>0</v>
      </c>
      <c r="P691" s="4" t="n">
        <f aca="false">IF(AND(A691&lt;&gt;"",J691&lt;&gt;"",M691&gt;0,N691&gt;0,O691=0),1,0)</f>
        <v>1</v>
      </c>
      <c r="Q691" s="7" t="n">
        <f aca="false">IF(P691=1,M691*N691,0)</f>
        <v>46.66</v>
      </c>
    </row>
    <row r="692" customFormat="false" ht="15" hidden="false" customHeight="false" outlineLevel="0" collapsed="false">
      <c r="A692" s="4" t="n">
        <v>10187</v>
      </c>
      <c r="B692" s="4" t="s">
        <v>1620</v>
      </c>
      <c r="C692" s="4" t="s">
        <v>93</v>
      </c>
      <c r="D692" s="4" t="s">
        <v>64</v>
      </c>
      <c r="E692" s="4" t="s">
        <v>151</v>
      </c>
      <c r="F692" s="4" t="n">
        <v>3</v>
      </c>
      <c r="G692" s="4" t="s">
        <v>1621</v>
      </c>
      <c r="H692" s="4" t="s">
        <v>47</v>
      </c>
      <c r="I692" s="4" t="s">
        <v>274</v>
      </c>
      <c r="J692" s="6" t="n">
        <f aca="false">IFERROR(DATEVALUE(B692),"")</f>
        <v>45673</v>
      </c>
      <c r="K692" s="4" t="str">
        <f aca="false">IF(A692="","",PROPER(TRIM(C692)))</f>
        <v>West</v>
      </c>
      <c r="L692" s="4" t="str">
        <f aca="false">IF(A692="","",PROPER(TRIM(D692)))</f>
        <v>Footwear</v>
      </c>
      <c r="M692" s="4" t="n">
        <f aca="false">IFERROR(VALUE(F692),0)</f>
        <v>3</v>
      </c>
      <c r="N692" s="7" t="n">
        <f aca="false">IFERROR(VALUE(SUBSTITUTE(G692,"$","")),0)</f>
        <v>143.87</v>
      </c>
      <c r="O692" s="4" t="n">
        <f aca="false">IF(A692="",0,IF(COUNTIF($A$2:A692,A692)&gt;1,1,0))</f>
        <v>0</v>
      </c>
      <c r="P692" s="4" t="n">
        <f aca="false">IF(AND(A692&lt;&gt;"",J692&lt;&gt;"",M692&gt;0,N692&gt;0,O692=0),1,0)</f>
        <v>1</v>
      </c>
      <c r="Q692" s="7" t="n">
        <f aca="false">IF(P692=1,M692*N692,0)</f>
        <v>431.61</v>
      </c>
    </row>
    <row r="693" customFormat="false" ht="15" hidden="false" customHeight="false" outlineLevel="0" collapsed="false">
      <c r="A693" s="4" t="n">
        <v>10246</v>
      </c>
      <c r="B693" s="4" t="s">
        <v>277</v>
      </c>
      <c r="C693" s="4" t="s">
        <v>155</v>
      </c>
      <c r="D693" s="4" t="s">
        <v>64</v>
      </c>
      <c r="E693" s="4" t="s">
        <v>65</v>
      </c>
      <c r="F693" s="4" t="n">
        <v>1</v>
      </c>
      <c r="G693" s="4" t="s">
        <v>1622</v>
      </c>
      <c r="H693" s="4" t="s">
        <v>47</v>
      </c>
      <c r="I693" s="4" t="s">
        <v>1312</v>
      </c>
      <c r="J693" s="6" t="n">
        <f aca="false">IFERROR(DATEVALUE(B693),"")</f>
        <v>45796</v>
      </c>
      <c r="K693" s="4" t="str">
        <f aca="false">IF(A693="","",PROPER(TRIM(C693)))</f>
        <v>South</v>
      </c>
      <c r="L693" s="4" t="str">
        <f aca="false">IF(A693="","",PROPER(TRIM(D693)))</f>
        <v>Footwear</v>
      </c>
      <c r="M693" s="4" t="n">
        <f aca="false">IFERROR(VALUE(F693),0)</f>
        <v>1</v>
      </c>
      <c r="N693" s="7" t="n">
        <f aca="false">IFERROR(VALUE(SUBSTITUTE(G693,"$","")),0)</f>
        <v>57.5</v>
      </c>
      <c r="O693" s="4" t="n">
        <f aca="false">IF(A693="",0,IF(COUNTIF($A$2:A693,A693)&gt;1,1,0))</f>
        <v>0</v>
      </c>
      <c r="P693" s="4" t="n">
        <f aca="false">IF(AND(A693&lt;&gt;"",J693&lt;&gt;"",M693&gt;0,N693&gt;0,O693=0),1,0)</f>
        <v>1</v>
      </c>
      <c r="Q693" s="7" t="n">
        <f aca="false">IF(P693=1,M693*N693,0)</f>
        <v>57.5</v>
      </c>
    </row>
    <row r="694" customFormat="false" ht="15" hidden="false" customHeight="false" outlineLevel="0" collapsed="false">
      <c r="A694" s="4" t="n">
        <v>10063</v>
      </c>
      <c r="B694" s="4" t="s">
        <v>1623</v>
      </c>
      <c r="C694" s="4" t="s">
        <v>332</v>
      </c>
      <c r="D694" s="4" t="s">
        <v>202</v>
      </c>
      <c r="E694" s="4" t="s">
        <v>203</v>
      </c>
      <c r="F694" s="4" t="n">
        <v>1</v>
      </c>
      <c r="G694" s="4" t="s">
        <v>1624</v>
      </c>
      <c r="H694" s="4" t="s">
        <v>47</v>
      </c>
      <c r="I694" s="4" t="s">
        <v>1371</v>
      </c>
      <c r="J694" s="6" t="n">
        <f aca="false">IFERROR(DATEVALUE(B694),"")</f>
        <v>45530</v>
      </c>
      <c r="K694" s="4" t="str">
        <f aca="false">IF(A694="","",PROPER(TRIM(C694)))</f>
        <v>West</v>
      </c>
      <c r="L694" s="4" t="str">
        <f aca="false">IF(A694="","",PROPER(TRIM(D694)))</f>
        <v>Camping Gear</v>
      </c>
      <c r="M694" s="4" t="n">
        <f aca="false">IFERROR(VALUE(F694),0)</f>
        <v>1</v>
      </c>
      <c r="N694" s="7" t="n">
        <f aca="false">IFERROR(VALUE(SUBSTITUTE(G694,"$","")),0)</f>
        <v>246.22</v>
      </c>
      <c r="O694" s="4" t="n">
        <f aca="false">IF(A694="",0,IF(COUNTIF($A$2:A694,A694)&gt;1,1,0))</f>
        <v>0</v>
      </c>
      <c r="P694" s="4" t="n">
        <f aca="false">IF(AND(A694&lt;&gt;"",J694&lt;&gt;"",M694&gt;0,N694&gt;0,O694=0),1,0)</f>
        <v>1</v>
      </c>
      <c r="Q694" s="7" t="n">
        <f aca="false">IF(P694=1,M694*N694,0)</f>
        <v>246.22</v>
      </c>
    </row>
    <row r="695" customFormat="false" ht="15" hidden="false" customHeight="false" outlineLevel="0" collapsed="false">
      <c r="A695" s="4" t="n">
        <v>10311</v>
      </c>
      <c r="B695" s="4" t="s">
        <v>1625</v>
      </c>
      <c r="C695" s="4" t="s">
        <v>133</v>
      </c>
      <c r="D695" s="4" t="s">
        <v>575</v>
      </c>
      <c r="E695" s="4" t="s">
        <v>210</v>
      </c>
      <c r="F695" s="4" t="n">
        <v>2</v>
      </c>
      <c r="G695" s="4" t="s">
        <v>1626</v>
      </c>
      <c r="H695" s="4" t="s">
        <v>47</v>
      </c>
      <c r="I695" s="4" t="s">
        <v>1402</v>
      </c>
      <c r="J695" s="6" t="n">
        <f aca="false">IFERROR(DATEVALUE(B695),"")</f>
        <v>45296</v>
      </c>
      <c r="K695" s="4" t="str">
        <f aca="false">IF(A695="","",PROPER(TRIM(C695)))</f>
        <v>East</v>
      </c>
      <c r="L695" s="4" t="str">
        <f aca="false">IF(A695="","",PROPER(TRIM(D695)))</f>
        <v>Accessories</v>
      </c>
      <c r="M695" s="4" t="n">
        <f aca="false">IFERROR(VALUE(F695),0)</f>
        <v>2</v>
      </c>
      <c r="N695" s="7" t="n">
        <f aca="false">IFERROR(VALUE(SUBSTITUTE(G695,"$","")),0)</f>
        <v>31.75</v>
      </c>
      <c r="O695" s="4" t="n">
        <f aca="false">IF(A695="",0,IF(COUNTIF($A$2:A695,A695)&gt;1,1,0))</f>
        <v>0</v>
      </c>
      <c r="P695" s="4" t="n">
        <f aca="false">IF(AND(A695&lt;&gt;"",J695&lt;&gt;"",M695&gt;0,N695&gt;0,O695=0),1,0)</f>
        <v>1</v>
      </c>
      <c r="Q695" s="7" t="n">
        <f aca="false">IF(P695=1,M695*N695,0)</f>
        <v>63.5</v>
      </c>
    </row>
    <row r="696" customFormat="false" ht="15" hidden="false" customHeight="false" outlineLevel="0" collapsed="false">
      <c r="A696" s="4" t="n">
        <v>10376</v>
      </c>
      <c r="B696" s="4" t="s">
        <v>1501</v>
      </c>
      <c r="C696" s="4" t="s">
        <v>183</v>
      </c>
      <c r="D696" s="4" t="s">
        <v>217</v>
      </c>
      <c r="E696" s="4" t="s">
        <v>142</v>
      </c>
      <c r="F696" s="4" t="n">
        <v>1</v>
      </c>
      <c r="G696" s="4" t="s">
        <v>1627</v>
      </c>
      <c r="H696" s="4" t="s">
        <v>54</v>
      </c>
      <c r="I696" s="4" t="s">
        <v>573</v>
      </c>
      <c r="J696" s="6" t="n">
        <f aca="false">IFERROR(DATEVALUE(B696),"")</f>
        <v>45481</v>
      </c>
      <c r="K696" s="4" t="str">
        <f aca="false">IF(A696="","",PROPER(TRIM(C696)))</f>
        <v>West</v>
      </c>
      <c r="L696" s="4" t="str">
        <f aca="false">IF(A696="","",PROPER(TRIM(D696)))</f>
        <v>Apparel</v>
      </c>
      <c r="M696" s="4" t="n">
        <f aca="false">IFERROR(VALUE(F696),0)</f>
        <v>1</v>
      </c>
      <c r="N696" s="7" t="n">
        <f aca="false">IFERROR(VALUE(SUBSTITUTE(G696,"$","")),0)</f>
        <v>180.84</v>
      </c>
      <c r="O696" s="4" t="n">
        <f aca="false">IF(A696="",0,IF(COUNTIF($A$2:A696,A696)&gt;1,1,0))</f>
        <v>0</v>
      </c>
      <c r="P696" s="4" t="n">
        <f aca="false">IF(AND(A696&lt;&gt;"",J696&lt;&gt;"",M696&gt;0,N696&gt;0,O696=0),1,0)</f>
        <v>1</v>
      </c>
      <c r="Q696" s="7" t="n">
        <f aca="false">IF(P696=1,M696*N696,0)</f>
        <v>180.84</v>
      </c>
    </row>
    <row r="697" customFormat="false" ht="15" hidden="false" customHeight="false" outlineLevel="0" collapsed="false">
      <c r="A697" s="4" t="n">
        <v>10044</v>
      </c>
      <c r="B697" s="4" t="s">
        <v>1628</v>
      </c>
      <c r="C697" s="4" t="s">
        <v>229</v>
      </c>
      <c r="D697" s="4" t="s">
        <v>387</v>
      </c>
      <c r="E697" s="4" t="s">
        <v>71</v>
      </c>
      <c r="F697" s="4" t="n">
        <v>2</v>
      </c>
      <c r="G697" s="4" t="s">
        <v>1629</v>
      </c>
      <c r="H697" s="4" t="s">
        <v>73</v>
      </c>
      <c r="I697" s="4" t="s">
        <v>464</v>
      </c>
      <c r="J697" s="6" t="n">
        <f aca="false">IFERROR(DATEVALUE(B697),"")</f>
        <v>45536</v>
      </c>
      <c r="K697" s="4" t="str">
        <f aca="false">IF(A697="","",PROPER(TRIM(C697)))</f>
        <v>Midwest</v>
      </c>
      <c r="L697" s="4" t="str">
        <f aca="false">IF(A697="","",PROPER(TRIM(D697)))</f>
        <v>Camping Gear</v>
      </c>
      <c r="M697" s="4" t="n">
        <f aca="false">IFERROR(VALUE(F697),0)</f>
        <v>2</v>
      </c>
      <c r="N697" s="7" t="n">
        <f aca="false">IFERROR(VALUE(SUBSTITUTE(G697,"$","")),0)</f>
        <v>65.09</v>
      </c>
      <c r="O697" s="4" t="n">
        <f aca="false">IF(A697="",0,IF(COUNTIF($A$2:A697,A697)&gt;1,1,0))</f>
        <v>0</v>
      </c>
      <c r="P697" s="4" t="n">
        <f aca="false">IF(AND(A697&lt;&gt;"",J697&lt;&gt;"",M697&gt;0,N697&gt;0,O697=0),1,0)</f>
        <v>1</v>
      </c>
      <c r="Q697" s="7" t="n">
        <f aca="false">IF(P697=1,M697*N697,0)</f>
        <v>130.18</v>
      </c>
    </row>
    <row r="698" customFormat="false" ht="15" hidden="false" customHeight="false" outlineLevel="0" collapsed="false">
      <c r="A698" s="4" t="n">
        <v>10362</v>
      </c>
      <c r="B698" s="4" t="s">
        <v>1630</v>
      </c>
      <c r="C698" s="4" t="s">
        <v>332</v>
      </c>
      <c r="D698" s="4" t="s">
        <v>76</v>
      </c>
      <c r="E698" s="4" t="s">
        <v>65</v>
      </c>
      <c r="F698" s="4" t="n">
        <v>1</v>
      </c>
      <c r="G698" s="4" t="s">
        <v>1631</v>
      </c>
      <c r="H698" s="4" t="s">
        <v>73</v>
      </c>
      <c r="I698" s="4" t="s">
        <v>443</v>
      </c>
      <c r="J698" s="6" t="n">
        <f aca="false">IFERROR(DATEVALUE(B698),"")</f>
        <v>45728</v>
      </c>
      <c r="K698" s="4" t="str">
        <f aca="false">IF(A698="","",PROPER(TRIM(C698)))</f>
        <v>West</v>
      </c>
      <c r="L698" s="4" t="str">
        <f aca="false">IF(A698="","",PROPER(TRIM(D698)))</f>
        <v>Footwear</v>
      </c>
      <c r="M698" s="4" t="n">
        <f aca="false">IFERROR(VALUE(F698),0)</f>
        <v>1</v>
      </c>
      <c r="N698" s="7" t="n">
        <f aca="false">IFERROR(VALUE(SUBSTITUTE(G698,"$","")),0)</f>
        <v>50.17</v>
      </c>
      <c r="O698" s="4" t="n">
        <f aca="false">IF(A698="",0,IF(COUNTIF($A$2:A698,A698)&gt;1,1,0))</f>
        <v>0</v>
      </c>
      <c r="P698" s="4" t="n">
        <f aca="false">IF(AND(A698&lt;&gt;"",J698&lt;&gt;"",M698&gt;0,N698&gt;0,O698=0),1,0)</f>
        <v>1</v>
      </c>
      <c r="Q698" s="7" t="n">
        <f aca="false">IF(P698=1,M698*N698,0)</f>
        <v>50.17</v>
      </c>
    </row>
    <row r="699" customFormat="false" ht="15" hidden="false" customHeight="false" outlineLevel="0" collapsed="false">
      <c r="A699" s="4" t="n">
        <v>10266</v>
      </c>
      <c r="B699" s="4" t="s">
        <v>1632</v>
      </c>
      <c r="C699" s="4" t="s">
        <v>57</v>
      </c>
      <c r="D699" s="4" t="s">
        <v>575</v>
      </c>
      <c r="E699" s="4" t="s">
        <v>45</v>
      </c>
      <c r="F699" s="4" t="n">
        <v>1</v>
      </c>
      <c r="G699" s="4" t="s">
        <v>1633</v>
      </c>
      <c r="H699" s="4" t="s">
        <v>73</v>
      </c>
      <c r="I699" s="4" t="s">
        <v>523</v>
      </c>
      <c r="J699" s="6" t="n">
        <f aca="false">IFERROR(DATEVALUE(B699),"")</f>
        <v>45770</v>
      </c>
      <c r="K699" s="4" t="str">
        <f aca="false">IF(A699="","",PROPER(TRIM(C699)))</f>
        <v>West</v>
      </c>
      <c r="L699" s="4" t="str">
        <f aca="false">IF(A699="","",PROPER(TRIM(D699)))</f>
        <v>Accessories</v>
      </c>
      <c r="M699" s="4" t="n">
        <f aca="false">IFERROR(VALUE(F699),0)</f>
        <v>1</v>
      </c>
      <c r="N699" s="7" t="n">
        <f aca="false">IFERROR(VALUE(SUBSTITUTE(G699,"$","")),0)</f>
        <v>45.49</v>
      </c>
      <c r="O699" s="4" t="n">
        <f aca="false">IF(A699="",0,IF(COUNTIF($A$2:A699,A699)&gt;1,1,0))</f>
        <v>0</v>
      </c>
      <c r="P699" s="4" t="n">
        <f aca="false">IF(AND(A699&lt;&gt;"",J699&lt;&gt;"",M699&gt;0,N699&gt;0,O699=0),1,0)</f>
        <v>1</v>
      </c>
      <c r="Q699" s="7" t="n">
        <f aca="false">IF(P699=1,M699*N699,0)</f>
        <v>45.49</v>
      </c>
    </row>
    <row r="700" customFormat="false" ht="15" hidden="false" customHeight="false" outlineLevel="0" collapsed="false">
      <c r="A700" s="4" t="n">
        <v>10337</v>
      </c>
      <c r="B700" s="4" t="s">
        <v>1579</v>
      </c>
      <c r="C700" s="4" t="s">
        <v>224</v>
      </c>
      <c r="D700" s="4" t="s">
        <v>88</v>
      </c>
      <c r="E700" s="4" t="s">
        <v>243</v>
      </c>
      <c r="F700" s="4" t="n">
        <v>1</v>
      </c>
      <c r="G700" s="4" t="s">
        <v>1634</v>
      </c>
      <c r="H700" s="4" t="s">
        <v>47</v>
      </c>
      <c r="I700" s="4" t="s">
        <v>873</v>
      </c>
      <c r="J700" s="6" t="n">
        <f aca="false">IFERROR(DATEVALUE(B700),"")</f>
        <v>45543</v>
      </c>
      <c r="K700" s="4" t="str">
        <f aca="false">IF(A700="","",PROPER(TRIM(C700)))</f>
        <v>East</v>
      </c>
      <c r="L700" s="4" t="str">
        <f aca="false">IF(A700="","",PROPER(TRIM(D700)))</f>
        <v>Apparel</v>
      </c>
      <c r="M700" s="4" t="n">
        <f aca="false">IFERROR(VALUE(F700),0)</f>
        <v>1</v>
      </c>
      <c r="N700" s="7" t="n">
        <f aca="false">IFERROR(VALUE(SUBSTITUTE(G700,"$","")),0)</f>
        <v>75.14</v>
      </c>
      <c r="O700" s="4" t="n">
        <f aca="false">IF(A700="",0,IF(COUNTIF($A$2:A700,A700)&gt;1,1,0))</f>
        <v>0</v>
      </c>
      <c r="P700" s="4" t="n">
        <f aca="false">IF(AND(A700&lt;&gt;"",J700&lt;&gt;"",M700&gt;0,N700&gt;0,O700=0),1,0)</f>
        <v>1</v>
      </c>
      <c r="Q700" s="7" t="n">
        <f aca="false">IF(P700=1,M700*N700,0)</f>
        <v>75.14</v>
      </c>
    </row>
    <row r="701" customFormat="false" ht="15" hidden="false" customHeight="false" outlineLevel="0" collapsed="false">
      <c r="A701" s="4" t="n">
        <v>10531</v>
      </c>
      <c r="B701" s="4" t="s">
        <v>1635</v>
      </c>
      <c r="C701" s="4" t="s">
        <v>63</v>
      </c>
      <c r="D701" s="4" t="s">
        <v>171</v>
      </c>
      <c r="E701" s="4" t="s">
        <v>71</v>
      </c>
      <c r="F701" s="4" t="n">
        <v>4</v>
      </c>
      <c r="G701" s="4" t="s">
        <v>1636</v>
      </c>
      <c r="H701" s="4" t="s">
        <v>73</v>
      </c>
      <c r="I701" s="4" t="s">
        <v>968</v>
      </c>
      <c r="J701" s="6" t="n">
        <f aca="false">IFERROR(DATEVALUE(B701),"")</f>
        <v>45793</v>
      </c>
      <c r="K701" s="4" t="str">
        <f aca="false">IF(A701="","",PROPER(TRIM(C701)))</f>
        <v>Midwest</v>
      </c>
      <c r="L701" s="4" t="str">
        <f aca="false">IF(A701="","",PROPER(TRIM(D701)))</f>
        <v>Camping Gear</v>
      </c>
      <c r="M701" s="4" t="n">
        <f aca="false">IFERROR(VALUE(F701),0)</f>
        <v>4</v>
      </c>
      <c r="N701" s="7" t="n">
        <f aca="false">IFERROR(VALUE(SUBSTITUTE(G701,"$","")),0)</f>
        <v>65.26</v>
      </c>
      <c r="O701" s="4" t="n">
        <f aca="false">IF(A701="",0,IF(COUNTIF($A$2:A701,A701)&gt;1,1,0))</f>
        <v>0</v>
      </c>
      <c r="P701" s="4" t="n">
        <f aca="false">IF(AND(A701&lt;&gt;"",J701&lt;&gt;"",M701&gt;0,N701&gt;0,O701=0),1,0)</f>
        <v>1</v>
      </c>
      <c r="Q701" s="7" t="n">
        <f aca="false">IF(P701=1,M701*N701,0)</f>
        <v>261.04</v>
      </c>
    </row>
    <row r="702" customFormat="false" ht="15" hidden="false" customHeight="false" outlineLevel="0" collapsed="false">
      <c r="A702" s="4" t="n">
        <v>10197</v>
      </c>
      <c r="B702" s="4" t="s">
        <v>1637</v>
      </c>
      <c r="C702" s="4" t="s">
        <v>63</v>
      </c>
      <c r="D702" s="4" t="s">
        <v>70</v>
      </c>
      <c r="E702" s="4" t="s">
        <v>448</v>
      </c>
      <c r="F702" s="4" t="n">
        <v>-1</v>
      </c>
      <c r="G702" s="4" t="s">
        <v>1638</v>
      </c>
      <c r="H702" s="4" t="s">
        <v>54</v>
      </c>
      <c r="I702" s="4" t="s">
        <v>494</v>
      </c>
      <c r="J702" s="6" t="n">
        <f aca="false">IFERROR(DATEVALUE(B702),"")</f>
        <v>45439</v>
      </c>
      <c r="K702" s="4" t="str">
        <f aca="false">IF(A702="","",PROPER(TRIM(C702)))</f>
        <v>Midwest</v>
      </c>
      <c r="L702" s="4" t="str">
        <f aca="false">IF(A702="","",PROPER(TRIM(D702)))</f>
        <v>Camping Gear</v>
      </c>
      <c r="M702" s="4" t="n">
        <f aca="false">IFERROR(VALUE(F702),0)</f>
        <v>-1</v>
      </c>
      <c r="N702" s="7" t="n">
        <f aca="false">IFERROR(VALUE(SUBSTITUTE(G702,"$","")),0)</f>
        <v>198.86</v>
      </c>
      <c r="O702" s="4" t="n">
        <f aca="false">IF(A702="",0,IF(COUNTIF($A$2:A702,A702)&gt;1,1,0))</f>
        <v>0</v>
      </c>
      <c r="P702" s="4" t="n">
        <f aca="false">IF(AND(A702&lt;&gt;"",J702&lt;&gt;"",M702&gt;0,N702&gt;0,O702=0),1,0)</f>
        <v>0</v>
      </c>
      <c r="Q702" s="7" t="n">
        <f aca="false">IF(P702=1,M702*N702,0)</f>
        <v>0</v>
      </c>
    </row>
    <row r="703" customFormat="false" ht="15" hidden="false" customHeight="false" outlineLevel="0" collapsed="false">
      <c r="A703" s="4" t="n">
        <v>10566</v>
      </c>
      <c r="B703" s="4" t="s">
        <v>1639</v>
      </c>
      <c r="C703" s="4" t="s">
        <v>93</v>
      </c>
      <c r="D703" s="4" t="s">
        <v>58</v>
      </c>
      <c r="E703" s="4" t="s">
        <v>94</v>
      </c>
      <c r="F703" s="4" t="n">
        <v>2</v>
      </c>
      <c r="G703" s="4"/>
      <c r="H703" s="4" t="s">
        <v>47</v>
      </c>
      <c r="I703" s="4" t="s">
        <v>392</v>
      </c>
      <c r="J703" s="6" t="n">
        <f aca="false">IFERROR(DATEVALUE(B703),"")</f>
        <v>45549</v>
      </c>
      <c r="K703" s="4" t="str">
        <f aca="false">IF(A703="","",PROPER(TRIM(C703)))</f>
        <v>West</v>
      </c>
      <c r="L703" s="4" t="str">
        <f aca="false">IF(A703="","",PROPER(TRIM(D703)))</f>
        <v>Climbing Gear</v>
      </c>
      <c r="M703" s="4" t="n">
        <f aca="false">IFERROR(VALUE(F703),0)</f>
        <v>2</v>
      </c>
      <c r="N703" s="7" t="n">
        <f aca="false">IFERROR(VALUE(SUBSTITUTE(G703,"$","")),0)</f>
        <v>0</v>
      </c>
      <c r="O703" s="4" t="n">
        <f aca="false">IF(A703="",0,IF(COUNTIF($A$2:A703,A703)&gt;1,1,0))</f>
        <v>0</v>
      </c>
      <c r="P703" s="4" t="n">
        <f aca="false">IF(AND(A703&lt;&gt;"",J703&lt;&gt;"",M703&gt;0,N703&gt;0,O703=0),1,0)</f>
        <v>0</v>
      </c>
      <c r="Q703" s="7" t="n">
        <f aca="false">IF(P703=1,M703*N703,0)</f>
        <v>0</v>
      </c>
    </row>
    <row r="704" customFormat="false" ht="15" hidden="false" customHeight="false" outlineLevel="0" collapsed="false">
      <c r="A704" s="4" t="n">
        <v>10771</v>
      </c>
      <c r="B704" s="4" t="s">
        <v>1640</v>
      </c>
      <c r="C704" s="4" t="s">
        <v>93</v>
      </c>
      <c r="D704" s="4" t="s">
        <v>602</v>
      </c>
      <c r="E704" s="4" t="s">
        <v>188</v>
      </c>
      <c r="F704" s="4" t="n">
        <v>3</v>
      </c>
      <c r="G704" s="4" t="s">
        <v>1641</v>
      </c>
      <c r="H704" s="4" t="s">
        <v>73</v>
      </c>
      <c r="I704" s="4" t="s">
        <v>1274</v>
      </c>
      <c r="J704" s="6" t="n">
        <f aca="false">IFERROR(DATEVALUE(B704),"")</f>
        <v>45320</v>
      </c>
      <c r="K704" s="4" t="str">
        <f aca="false">IF(A704="","",PROPER(TRIM(C704)))</f>
        <v>West</v>
      </c>
      <c r="L704" s="4" t="str">
        <f aca="false">IF(A704="","",PROPER(TRIM(D704)))</f>
        <v>Climbing Gear</v>
      </c>
      <c r="M704" s="4" t="n">
        <f aca="false">IFERROR(VALUE(F704),0)</f>
        <v>3</v>
      </c>
      <c r="N704" s="7" t="n">
        <f aca="false">IFERROR(VALUE(SUBSTITUTE(G704,"$","")),0)</f>
        <v>19.51</v>
      </c>
      <c r="O704" s="4" t="n">
        <f aca="false">IF(A704="",0,IF(COUNTIF($A$2:A704,A704)&gt;1,1,0))</f>
        <v>0</v>
      </c>
      <c r="P704" s="4" t="n">
        <f aca="false">IF(AND(A704&lt;&gt;"",J704&lt;&gt;"",M704&gt;0,N704&gt;0,O704=0),1,0)</f>
        <v>1</v>
      </c>
      <c r="Q704" s="7" t="n">
        <f aca="false">IF(P704=1,M704*N704,0)</f>
        <v>58.53</v>
      </c>
    </row>
    <row r="705" customFormat="false" ht="15" hidden="false" customHeight="false" outlineLevel="0" collapsed="false">
      <c r="A705" s="4" t="n">
        <v>10061</v>
      </c>
      <c r="B705" s="4" t="s">
        <v>163</v>
      </c>
      <c r="C705" s="4" t="s">
        <v>105</v>
      </c>
      <c r="D705" s="4" t="s">
        <v>44</v>
      </c>
      <c r="E705" s="4" t="s">
        <v>52</v>
      </c>
      <c r="F705" s="4" t="n">
        <v>1</v>
      </c>
      <c r="G705" s="4"/>
      <c r="H705" s="4" t="s">
        <v>73</v>
      </c>
      <c r="I705" s="4" t="s">
        <v>74</v>
      </c>
      <c r="J705" s="6" t="n">
        <f aca="false">IFERROR(DATEVALUE(B705),"")</f>
        <v>45416</v>
      </c>
      <c r="K705" s="4" t="str">
        <f aca="false">IF(A705="","",PROPER(TRIM(C705)))</f>
        <v>Midwest</v>
      </c>
      <c r="L705" s="4" t="str">
        <f aca="false">IF(A705="","",PROPER(TRIM(D705)))</f>
        <v>Accessories</v>
      </c>
      <c r="M705" s="4" t="n">
        <f aca="false">IFERROR(VALUE(F705),0)</f>
        <v>1</v>
      </c>
      <c r="N705" s="7" t="n">
        <f aca="false">IFERROR(VALUE(SUBSTITUTE(G705,"$","")),0)</f>
        <v>0</v>
      </c>
      <c r="O705" s="4" t="n">
        <f aca="false">IF(A705="",0,IF(COUNTIF($A$2:A705,A705)&gt;1,1,0))</f>
        <v>0</v>
      </c>
      <c r="P705" s="4" t="n">
        <f aca="false">IF(AND(A705&lt;&gt;"",J705&lt;&gt;"",M705&gt;0,N705&gt;0,O705=0),1,0)</f>
        <v>0</v>
      </c>
      <c r="Q705" s="7" t="n">
        <f aca="false">IF(P705=1,M705*N705,0)</f>
        <v>0</v>
      </c>
    </row>
    <row r="706" customFormat="false" ht="15" hidden="false" customHeight="false" outlineLevel="0" collapsed="false">
      <c r="A706" s="4" t="n">
        <v>10108</v>
      </c>
      <c r="B706" s="4" t="s">
        <v>1642</v>
      </c>
      <c r="C706" s="4" t="s">
        <v>332</v>
      </c>
      <c r="D706" s="4" t="s">
        <v>230</v>
      </c>
      <c r="E706" s="4" t="s">
        <v>243</v>
      </c>
      <c r="F706" s="4" t="n">
        <v>1</v>
      </c>
      <c r="G706" s="4" t="s">
        <v>1643</v>
      </c>
      <c r="H706" s="4" t="s">
        <v>54</v>
      </c>
      <c r="I706" s="4" t="s">
        <v>1644</v>
      </c>
      <c r="J706" s="6" t="n">
        <f aca="false">IFERROR(DATEVALUE(B706),"")</f>
        <v>45321</v>
      </c>
      <c r="K706" s="4" t="str">
        <f aca="false">IF(A706="","",PROPER(TRIM(C706)))</f>
        <v>West</v>
      </c>
      <c r="L706" s="4" t="str">
        <f aca="false">IF(A706="","",PROPER(TRIM(D706)))</f>
        <v>Apparel</v>
      </c>
      <c r="M706" s="4" t="n">
        <f aca="false">IFERROR(VALUE(F706),0)</f>
        <v>1</v>
      </c>
      <c r="N706" s="7" t="n">
        <f aca="false">IFERROR(VALUE(SUBSTITUTE(G706,"$","")),0)</f>
        <v>79.42</v>
      </c>
      <c r="O706" s="4" t="n">
        <f aca="false">IF(A706="",0,IF(COUNTIF($A$2:A706,A706)&gt;1,1,0))</f>
        <v>0</v>
      </c>
      <c r="P706" s="4" t="n">
        <f aca="false">IF(AND(A706&lt;&gt;"",J706&lt;&gt;"",M706&gt;0,N706&gt;0,O706=0),1,0)</f>
        <v>1</v>
      </c>
      <c r="Q706" s="7" t="n">
        <f aca="false">IF(P706=1,M706*N706,0)</f>
        <v>79.42</v>
      </c>
    </row>
    <row r="707" customFormat="false" ht="15" hidden="false" customHeight="false" outlineLevel="0" collapsed="false">
      <c r="A707" s="4" t="n">
        <v>10335</v>
      </c>
      <c r="B707" s="4" t="s">
        <v>1645</v>
      </c>
      <c r="C707" s="4" t="s">
        <v>63</v>
      </c>
      <c r="D707" s="4" t="s">
        <v>387</v>
      </c>
      <c r="E707" s="4" t="s">
        <v>448</v>
      </c>
      <c r="F707" s="4" t="n">
        <v>2</v>
      </c>
      <c r="G707" s="4" t="s">
        <v>1646</v>
      </c>
      <c r="H707" s="4" t="s">
        <v>47</v>
      </c>
      <c r="I707" s="4" t="s">
        <v>1647</v>
      </c>
      <c r="J707" s="6" t="n">
        <f aca="false">IFERROR(DATEVALUE(B707),"")</f>
        <v>45534</v>
      </c>
      <c r="K707" s="4" t="str">
        <f aca="false">IF(A707="","",PROPER(TRIM(C707)))</f>
        <v>Midwest</v>
      </c>
      <c r="L707" s="4" t="str">
        <f aca="false">IF(A707="","",PROPER(TRIM(D707)))</f>
        <v>Camping Gear</v>
      </c>
      <c r="M707" s="4" t="n">
        <f aca="false">IFERROR(VALUE(F707),0)</f>
        <v>2</v>
      </c>
      <c r="N707" s="7" t="n">
        <f aca="false">IFERROR(VALUE(SUBSTITUTE(G707,"$","")),0)</f>
        <v>206.54</v>
      </c>
      <c r="O707" s="4" t="n">
        <f aca="false">IF(A707="",0,IF(COUNTIF($A$2:A707,A707)&gt;1,1,0))</f>
        <v>0</v>
      </c>
      <c r="P707" s="4" t="n">
        <f aca="false">IF(AND(A707&lt;&gt;"",J707&lt;&gt;"",M707&gt;0,N707&gt;0,O707=0),1,0)</f>
        <v>1</v>
      </c>
      <c r="Q707" s="7" t="n">
        <f aca="false">IF(P707=1,M707*N707,0)</f>
        <v>413.08</v>
      </c>
    </row>
    <row r="708" customFormat="false" ht="15" hidden="false" customHeight="false" outlineLevel="0" collapsed="false">
      <c r="A708" s="4" t="n">
        <v>10656</v>
      </c>
      <c r="B708" s="4" t="s">
        <v>1645</v>
      </c>
      <c r="C708" s="4" t="s">
        <v>155</v>
      </c>
      <c r="D708" s="4" t="s">
        <v>124</v>
      </c>
      <c r="E708" s="4" t="s">
        <v>188</v>
      </c>
      <c r="F708" s="4" t="n">
        <v>1</v>
      </c>
      <c r="G708" s="4" t="s">
        <v>1648</v>
      </c>
      <c r="H708" s="4" t="s">
        <v>54</v>
      </c>
      <c r="I708" s="4" t="s">
        <v>286</v>
      </c>
      <c r="J708" s="6" t="n">
        <f aca="false">IFERROR(DATEVALUE(B708),"")</f>
        <v>45534</v>
      </c>
      <c r="K708" s="4" t="str">
        <f aca="false">IF(A708="","",PROPER(TRIM(C708)))</f>
        <v>South</v>
      </c>
      <c r="L708" s="4" t="str">
        <f aca="false">IF(A708="","",PROPER(TRIM(D708)))</f>
        <v>Climbing Gear</v>
      </c>
      <c r="M708" s="4" t="n">
        <f aca="false">IFERROR(VALUE(F708),0)</f>
        <v>1</v>
      </c>
      <c r="N708" s="7" t="n">
        <f aca="false">IFERROR(VALUE(SUBSTITUTE(G708,"$","")),0)</f>
        <v>19.75</v>
      </c>
      <c r="O708" s="4" t="n">
        <f aca="false">IF(A708="",0,IF(COUNTIF($A$2:A708,A708)&gt;1,1,0))</f>
        <v>0</v>
      </c>
      <c r="P708" s="4" t="n">
        <f aca="false">IF(AND(A708&lt;&gt;"",J708&lt;&gt;"",M708&gt;0,N708&gt;0,O708=0),1,0)</f>
        <v>1</v>
      </c>
      <c r="Q708" s="7" t="n">
        <f aca="false">IF(P708=1,M708*N708,0)</f>
        <v>19.75</v>
      </c>
    </row>
    <row r="709" customFormat="false" ht="15" hidden="false" customHeight="false" outlineLevel="0" collapsed="false">
      <c r="A709" s="4" t="n">
        <v>10680</v>
      </c>
      <c r="B709" s="4" t="s">
        <v>1649</v>
      </c>
      <c r="C709" s="4" t="s">
        <v>149</v>
      </c>
      <c r="D709" s="4" t="s">
        <v>101</v>
      </c>
      <c r="E709" s="4" t="s">
        <v>45</v>
      </c>
      <c r="F709" s="4" t="n">
        <v>4</v>
      </c>
      <c r="G709" s="4" t="s">
        <v>1650</v>
      </c>
      <c r="H709" s="4" t="s">
        <v>73</v>
      </c>
      <c r="I709" s="4" t="s">
        <v>455</v>
      </c>
      <c r="J709" s="6" t="n">
        <f aca="false">IFERROR(DATEVALUE(B709),"")</f>
        <v>45791</v>
      </c>
      <c r="K709" s="4" t="str">
        <f aca="false">IF(A709="","",PROPER(TRIM(C709)))</f>
        <v>East</v>
      </c>
      <c r="L709" s="4" t="str">
        <f aca="false">IF(A709="","",PROPER(TRIM(D709)))</f>
        <v>Accessories</v>
      </c>
      <c r="M709" s="4" t="n">
        <f aca="false">IFERROR(VALUE(F709),0)</f>
        <v>4</v>
      </c>
      <c r="N709" s="7" t="n">
        <f aca="false">IFERROR(VALUE(SUBSTITUTE(G709,"$","")),0)</f>
        <v>52.36</v>
      </c>
      <c r="O709" s="4" t="n">
        <f aca="false">IF(A709="",0,IF(COUNTIF($A$2:A709,A709)&gt;1,1,0))</f>
        <v>0</v>
      </c>
      <c r="P709" s="4" t="n">
        <f aca="false">IF(AND(A709&lt;&gt;"",J709&lt;&gt;"",M709&gt;0,N709&gt;0,O709=0),1,0)</f>
        <v>1</v>
      </c>
      <c r="Q709" s="7" t="n">
        <f aca="false">IF(P709=1,M709*N709,0)</f>
        <v>209.44</v>
      </c>
    </row>
    <row r="710" customFormat="false" ht="15" hidden="false" customHeight="false" outlineLevel="0" collapsed="false">
      <c r="A710" s="4" t="n">
        <v>10719</v>
      </c>
      <c r="B710" s="4" t="s">
        <v>1508</v>
      </c>
      <c r="C710" s="4" t="s">
        <v>229</v>
      </c>
      <c r="D710" s="4" t="s">
        <v>281</v>
      </c>
      <c r="E710" s="4" t="s">
        <v>251</v>
      </c>
      <c r="F710" s="4" t="n">
        <v>1</v>
      </c>
      <c r="G710" s="4" t="s">
        <v>1651</v>
      </c>
      <c r="H710" s="4" t="s">
        <v>73</v>
      </c>
      <c r="I710" s="4" t="s">
        <v>376</v>
      </c>
      <c r="J710" s="6" t="n">
        <f aca="false">IFERROR(DATEVALUE(B710),"")</f>
        <v>45527</v>
      </c>
      <c r="K710" s="4" t="str">
        <f aca="false">IF(A710="","",PROPER(TRIM(C710)))</f>
        <v>Midwest</v>
      </c>
      <c r="L710" s="4" t="str">
        <f aca="false">IF(A710="","",PROPER(TRIM(D710)))</f>
        <v>Camping Gear</v>
      </c>
      <c r="M710" s="4" t="n">
        <f aca="false">IFERROR(VALUE(F710),0)</f>
        <v>1</v>
      </c>
      <c r="N710" s="7" t="n">
        <f aca="false">IFERROR(VALUE(SUBSTITUTE(G710,"$","")),0)</f>
        <v>74.13</v>
      </c>
      <c r="O710" s="4" t="n">
        <f aca="false">IF(A710="",0,IF(COUNTIF($A$2:A710,A710)&gt;1,1,0))</f>
        <v>0</v>
      </c>
      <c r="P710" s="4" t="n">
        <f aca="false">IF(AND(A710&lt;&gt;"",J710&lt;&gt;"",M710&gt;0,N710&gt;0,O710=0),1,0)</f>
        <v>1</v>
      </c>
      <c r="Q710" s="7" t="n">
        <f aca="false">IF(P710=1,M710*N710,0)</f>
        <v>74.13</v>
      </c>
    </row>
    <row r="711" customFormat="false" ht="15" hidden="false" customHeight="false" outlineLevel="0" collapsed="false">
      <c r="A711" s="4" t="n">
        <v>10308</v>
      </c>
      <c r="B711" s="4" t="s">
        <v>123</v>
      </c>
      <c r="C711" s="4" t="s">
        <v>149</v>
      </c>
      <c r="D711" s="4" t="s">
        <v>179</v>
      </c>
      <c r="E711" s="4" t="s">
        <v>59</v>
      </c>
      <c r="F711" s="4" t="n">
        <v>1</v>
      </c>
      <c r="G711" s="4" t="s">
        <v>1652</v>
      </c>
      <c r="H711" s="4" t="s">
        <v>73</v>
      </c>
      <c r="I711" s="4" t="s">
        <v>196</v>
      </c>
      <c r="J711" s="6" t="n">
        <f aca="false">IFERROR(DATEVALUE(B711),"")</f>
        <v>45519</v>
      </c>
      <c r="K711" s="4" t="str">
        <f aca="false">IF(A711="","",PROPER(TRIM(C711)))</f>
        <v>East</v>
      </c>
      <c r="L711" s="4" t="str">
        <f aca="false">IF(A711="","",PROPER(TRIM(D711)))</f>
        <v>Climbing Gear</v>
      </c>
      <c r="M711" s="4" t="n">
        <f aca="false">IFERROR(VALUE(F711),0)</f>
        <v>1</v>
      </c>
      <c r="N711" s="7" t="n">
        <f aca="false">IFERROR(VALUE(SUBSTITUTE(G711,"$","")),0)</f>
        <v>37.27</v>
      </c>
      <c r="O711" s="4" t="n">
        <f aca="false">IF(A711="",0,IF(COUNTIF($A$2:A711,A711)&gt;1,1,0))</f>
        <v>0</v>
      </c>
      <c r="P711" s="4" t="n">
        <f aca="false">IF(AND(A711&lt;&gt;"",J711&lt;&gt;"",M711&gt;0,N711&gt;0,O711=0),1,0)</f>
        <v>1</v>
      </c>
      <c r="Q711" s="7" t="n">
        <f aca="false">IF(P711=1,M711*N711,0)</f>
        <v>37.27</v>
      </c>
    </row>
    <row r="712" customFormat="false" ht="15" hidden="false" customHeight="false" outlineLevel="0" collapsed="false">
      <c r="A712" s="4" t="n">
        <v>10147</v>
      </c>
      <c r="B712" s="4" t="s">
        <v>1653</v>
      </c>
      <c r="C712" s="4" t="s">
        <v>155</v>
      </c>
      <c r="D712" s="4" t="s">
        <v>217</v>
      </c>
      <c r="E712" s="4" t="s">
        <v>142</v>
      </c>
      <c r="F712" s="4" t="n">
        <v>1</v>
      </c>
      <c r="G712" s="4" t="s">
        <v>1654</v>
      </c>
      <c r="H712" s="4" t="s">
        <v>54</v>
      </c>
      <c r="I712" s="4" t="s">
        <v>138</v>
      </c>
      <c r="J712" s="6" t="n">
        <f aca="false">IFERROR(DATEVALUE(B712),"")</f>
        <v>45648</v>
      </c>
      <c r="K712" s="4" t="str">
        <f aca="false">IF(A712="","",PROPER(TRIM(C712)))</f>
        <v>South</v>
      </c>
      <c r="L712" s="4" t="str">
        <f aca="false">IF(A712="","",PROPER(TRIM(D712)))</f>
        <v>Apparel</v>
      </c>
      <c r="M712" s="4" t="n">
        <f aca="false">IFERROR(VALUE(F712),0)</f>
        <v>1</v>
      </c>
      <c r="N712" s="7" t="n">
        <f aca="false">IFERROR(VALUE(SUBSTITUTE(G712,"$","")),0)</f>
        <v>189.26</v>
      </c>
      <c r="O712" s="4" t="n">
        <f aca="false">IF(A712="",0,IF(COUNTIF($A$2:A712,A712)&gt;1,1,0))</f>
        <v>0</v>
      </c>
      <c r="P712" s="4" t="n">
        <f aca="false">IF(AND(A712&lt;&gt;"",J712&lt;&gt;"",M712&gt;0,N712&gt;0,O712=0),1,0)</f>
        <v>1</v>
      </c>
      <c r="Q712" s="7" t="n">
        <f aca="false">IF(P712=1,M712*N712,0)</f>
        <v>189.26</v>
      </c>
    </row>
    <row r="713" customFormat="false" ht="15" hidden="false" customHeight="false" outlineLevel="0" collapsed="false">
      <c r="A713" s="4" t="n">
        <v>10559</v>
      </c>
      <c r="B713" s="4" t="s">
        <v>1655</v>
      </c>
      <c r="C713" s="4" t="s">
        <v>155</v>
      </c>
      <c r="D713" s="4" t="s">
        <v>81</v>
      </c>
      <c r="E713" s="4" t="s">
        <v>111</v>
      </c>
      <c r="F713" s="4" t="n">
        <v>1</v>
      </c>
      <c r="G713" s="4" t="s">
        <v>1656</v>
      </c>
      <c r="H713" s="4" t="s">
        <v>47</v>
      </c>
      <c r="I713" s="4" t="s">
        <v>1657</v>
      </c>
      <c r="J713" s="6" t="n">
        <f aca="false">IFERROR(DATEVALUE(B713),"")</f>
        <v>45664</v>
      </c>
      <c r="K713" s="4" t="str">
        <f aca="false">IF(A713="","",PROPER(TRIM(C713)))</f>
        <v>South</v>
      </c>
      <c r="L713" s="4" t="str">
        <f aca="false">IF(A713="","",PROPER(TRIM(D713)))</f>
        <v>Footwear</v>
      </c>
      <c r="M713" s="4" t="n">
        <f aca="false">IFERROR(VALUE(F713),0)</f>
        <v>1</v>
      </c>
      <c r="N713" s="7" t="n">
        <f aca="false">IFERROR(VALUE(SUBSTITUTE(G713,"$","")),0)</f>
        <v>101.21</v>
      </c>
      <c r="O713" s="4" t="n">
        <f aca="false">IF(A713="",0,IF(COUNTIF($A$2:A713,A713)&gt;1,1,0))</f>
        <v>0</v>
      </c>
      <c r="P713" s="4" t="n">
        <f aca="false">IF(AND(A713&lt;&gt;"",J713&lt;&gt;"",M713&gt;0,N713&gt;0,O713=0),1,0)</f>
        <v>1</v>
      </c>
      <c r="Q713" s="7" t="n">
        <f aca="false">IF(P713=1,M713*N713,0)</f>
        <v>101.21</v>
      </c>
    </row>
    <row r="714" customFormat="false" ht="15" hidden="false" customHeight="false" outlineLevel="0" collapsed="false">
      <c r="A714" s="4" t="n">
        <v>10136</v>
      </c>
      <c r="B714" s="4" t="s">
        <v>453</v>
      </c>
      <c r="C714" s="4" t="s">
        <v>133</v>
      </c>
      <c r="D714" s="4" t="s">
        <v>124</v>
      </c>
      <c r="E714" s="4" t="s">
        <v>94</v>
      </c>
      <c r="F714" s="4" t="n">
        <v>2</v>
      </c>
      <c r="G714" s="4" t="s">
        <v>1301</v>
      </c>
      <c r="H714" s="4" t="s">
        <v>47</v>
      </c>
      <c r="I714" s="4" t="s">
        <v>864</v>
      </c>
      <c r="J714" s="6" t="n">
        <f aca="false">IFERROR(DATEVALUE(B714),"")</f>
        <v>45564</v>
      </c>
      <c r="K714" s="4" t="str">
        <f aca="false">IF(A714="","",PROPER(TRIM(C714)))</f>
        <v>East</v>
      </c>
      <c r="L714" s="4" t="str">
        <f aca="false">IF(A714="","",PROPER(TRIM(D714)))</f>
        <v>Climbing Gear</v>
      </c>
      <c r="M714" s="4" t="n">
        <f aca="false">IFERROR(VALUE(F714),0)</f>
        <v>2</v>
      </c>
      <c r="N714" s="7" t="n">
        <f aca="false">IFERROR(VALUE(SUBSTITUTE(G714,"$","")),0)</f>
        <v>178.87</v>
      </c>
      <c r="O714" s="4" t="n">
        <f aca="false">IF(A714="",0,IF(COUNTIF($A$2:A714,A714)&gt;1,1,0))</f>
        <v>1</v>
      </c>
      <c r="P714" s="4" t="n">
        <f aca="false">IF(AND(A714&lt;&gt;"",J714&lt;&gt;"",M714&gt;0,N714&gt;0,O714=0),1,0)</f>
        <v>0</v>
      </c>
      <c r="Q714" s="7" t="n">
        <f aca="false">IF(P714=1,M714*N714,0)</f>
        <v>0</v>
      </c>
    </row>
    <row r="715" customFormat="false" ht="15" hidden="false" customHeight="false" outlineLevel="0" collapsed="false">
      <c r="A715" s="4" t="n">
        <v>10394</v>
      </c>
      <c r="B715" s="4" t="s">
        <v>1620</v>
      </c>
      <c r="C715" s="4" t="s">
        <v>541</v>
      </c>
      <c r="D715" s="4" t="s">
        <v>387</v>
      </c>
      <c r="E715" s="4" t="s">
        <v>203</v>
      </c>
      <c r="F715" s="4" t="n">
        <v>1</v>
      </c>
      <c r="G715" s="4" t="s">
        <v>1658</v>
      </c>
      <c r="H715" s="4" t="s">
        <v>47</v>
      </c>
      <c r="I715" s="4" t="s">
        <v>539</v>
      </c>
      <c r="J715" s="6" t="n">
        <f aca="false">IFERROR(DATEVALUE(B715),"")</f>
        <v>45673</v>
      </c>
      <c r="K715" s="4" t="str">
        <f aca="false">IF(A715="","",PROPER(TRIM(C715)))</f>
        <v>West</v>
      </c>
      <c r="L715" s="4" t="str">
        <f aca="false">IF(A715="","",PROPER(TRIM(D715)))</f>
        <v>Camping Gear</v>
      </c>
      <c r="M715" s="4" t="n">
        <f aca="false">IFERROR(VALUE(F715),0)</f>
        <v>1</v>
      </c>
      <c r="N715" s="7" t="n">
        <f aca="false">IFERROR(VALUE(SUBSTITUTE(G715,"$","")),0)</f>
        <v>205.23</v>
      </c>
      <c r="O715" s="4" t="n">
        <f aca="false">IF(A715="",0,IF(COUNTIF($A$2:A715,A715)&gt;1,1,0))</f>
        <v>0</v>
      </c>
      <c r="P715" s="4" t="n">
        <f aca="false">IF(AND(A715&lt;&gt;"",J715&lt;&gt;"",M715&gt;0,N715&gt;0,O715=0),1,0)</f>
        <v>1</v>
      </c>
      <c r="Q715" s="7" t="n">
        <f aca="false">IF(P715=1,M715*N715,0)</f>
        <v>205.23</v>
      </c>
    </row>
    <row r="716" customFormat="false" ht="15" hidden="false" customHeight="false" outlineLevel="0" collapsed="false">
      <c r="A716" s="4" t="n">
        <v>10166</v>
      </c>
      <c r="B716" s="4" t="s">
        <v>136</v>
      </c>
      <c r="C716" s="4" t="s">
        <v>110</v>
      </c>
      <c r="D716" s="4" t="s">
        <v>106</v>
      </c>
      <c r="E716" s="4" t="s">
        <v>77</v>
      </c>
      <c r="F716" s="4" t="n">
        <v>1</v>
      </c>
      <c r="G716" s="4" t="s">
        <v>1659</v>
      </c>
      <c r="H716" s="4" t="s">
        <v>47</v>
      </c>
      <c r="I716" s="4" t="s">
        <v>265</v>
      </c>
      <c r="J716" s="6" t="str">
        <f aca="false">IFERROR(DATEVALUE(B716),"")</f>
        <v/>
      </c>
      <c r="K716" s="4" t="str">
        <f aca="false">IF(A716="","",PROPER(TRIM(C716)))</f>
        <v>Midwest</v>
      </c>
      <c r="L716" s="4" t="str">
        <f aca="false">IF(A716="","",PROPER(TRIM(D716)))</f>
        <v>Footwear</v>
      </c>
      <c r="M716" s="4" t="n">
        <f aca="false">IFERROR(VALUE(F716),0)</f>
        <v>1</v>
      </c>
      <c r="N716" s="7" t="n">
        <f aca="false">IFERROR(VALUE(SUBSTITUTE(G716,"$","")),0)</f>
        <v>135.25</v>
      </c>
      <c r="O716" s="4" t="n">
        <f aca="false">IF(A716="",0,IF(COUNTIF($A$2:A716,A716)&gt;1,1,0))</f>
        <v>0</v>
      </c>
      <c r="P716" s="4" t="n">
        <f aca="false">IF(AND(A716&lt;&gt;"",J716&lt;&gt;"",M716&gt;0,N716&gt;0,O716=0),1,0)</f>
        <v>0</v>
      </c>
      <c r="Q716" s="7" t="n">
        <f aca="false">IF(P716=1,M716*N716,0)</f>
        <v>0</v>
      </c>
    </row>
    <row r="717" customFormat="false" ht="15" hidden="false" customHeight="false" outlineLevel="0" collapsed="false">
      <c r="A717" s="4" t="n">
        <v>10249</v>
      </c>
      <c r="B717" s="4" t="s">
        <v>1660</v>
      </c>
      <c r="C717" s="4" t="s">
        <v>541</v>
      </c>
      <c r="D717" s="4" t="s">
        <v>106</v>
      </c>
      <c r="E717" s="4" t="s">
        <v>65</v>
      </c>
      <c r="F717" s="4" t="n">
        <v>1</v>
      </c>
      <c r="G717" s="4" t="s">
        <v>1661</v>
      </c>
      <c r="H717" s="4" t="s">
        <v>73</v>
      </c>
      <c r="I717" s="4" t="s">
        <v>928</v>
      </c>
      <c r="J717" s="6" t="n">
        <f aca="false">IFERROR(DATEVALUE(B717),"")</f>
        <v>45308</v>
      </c>
      <c r="K717" s="4" t="str">
        <f aca="false">IF(A717="","",PROPER(TRIM(C717)))</f>
        <v>West</v>
      </c>
      <c r="L717" s="4" t="str">
        <f aca="false">IF(A717="","",PROPER(TRIM(D717)))</f>
        <v>Footwear</v>
      </c>
      <c r="M717" s="4" t="n">
        <f aca="false">IFERROR(VALUE(F717),0)</f>
        <v>1</v>
      </c>
      <c r="N717" s="7" t="n">
        <f aca="false">IFERROR(VALUE(SUBSTITUTE(G717,"$","")),0)</f>
        <v>56.21</v>
      </c>
      <c r="O717" s="4" t="n">
        <f aca="false">IF(A717="",0,IF(COUNTIF($A$2:A717,A717)&gt;1,1,0))</f>
        <v>0</v>
      </c>
      <c r="P717" s="4" t="n">
        <f aca="false">IF(AND(A717&lt;&gt;"",J717&lt;&gt;"",M717&gt;0,N717&gt;0,O717=0),1,0)</f>
        <v>1</v>
      </c>
      <c r="Q717" s="7" t="n">
        <f aca="false">IF(P717=1,M717*N717,0)</f>
        <v>56.21</v>
      </c>
    </row>
    <row r="718" customFormat="false" ht="15" hidden="false" customHeight="false" outlineLevel="0" collapsed="false">
      <c r="A718" s="4" t="n">
        <v>10351</v>
      </c>
      <c r="B718" s="4" t="s">
        <v>280</v>
      </c>
      <c r="C718" s="4" t="s">
        <v>149</v>
      </c>
      <c r="D718" s="4" t="s">
        <v>76</v>
      </c>
      <c r="E718" s="4" t="s">
        <v>151</v>
      </c>
      <c r="F718" s="4" t="n">
        <v>3</v>
      </c>
      <c r="G718" s="4" t="s">
        <v>1662</v>
      </c>
      <c r="H718" s="4" t="s">
        <v>73</v>
      </c>
      <c r="I718" s="4" t="s">
        <v>534</v>
      </c>
      <c r="J718" s="6" t="str">
        <f aca="false">IFERROR(DATEVALUE(B718),"")</f>
        <v/>
      </c>
      <c r="K718" s="4" t="str">
        <f aca="false">IF(A718="","",PROPER(TRIM(C718)))</f>
        <v>East</v>
      </c>
      <c r="L718" s="4" t="str">
        <f aca="false">IF(A718="","",PROPER(TRIM(D718)))</f>
        <v>Footwear</v>
      </c>
      <c r="M718" s="4" t="n">
        <f aca="false">IFERROR(VALUE(F718),0)</f>
        <v>3</v>
      </c>
      <c r="N718" s="7" t="n">
        <f aca="false">IFERROR(VALUE(SUBSTITUTE(G718,"$","")),0)</f>
        <v>169.87</v>
      </c>
      <c r="O718" s="4" t="n">
        <f aca="false">IF(A718="",0,IF(COUNTIF($A$2:A718,A718)&gt;1,1,0))</f>
        <v>0</v>
      </c>
      <c r="P718" s="4" t="n">
        <f aca="false">IF(AND(A718&lt;&gt;"",J718&lt;&gt;"",M718&gt;0,N718&gt;0,O718=0),1,0)</f>
        <v>0</v>
      </c>
      <c r="Q718" s="7" t="n">
        <f aca="false">IF(P718=1,M718*N718,0)</f>
        <v>0</v>
      </c>
    </row>
    <row r="719" customFormat="false" ht="15" hidden="false" customHeight="false" outlineLevel="0" collapsed="false">
      <c r="A719" s="4" t="n">
        <v>10591</v>
      </c>
      <c r="B719" s="4" t="s">
        <v>1663</v>
      </c>
      <c r="C719" s="4" t="s">
        <v>110</v>
      </c>
      <c r="D719" s="4" t="s">
        <v>281</v>
      </c>
      <c r="E719" s="4" t="s">
        <v>251</v>
      </c>
      <c r="F719" s="4" t="n">
        <v>1</v>
      </c>
      <c r="G719" s="4" t="s">
        <v>622</v>
      </c>
      <c r="H719" s="4" t="s">
        <v>54</v>
      </c>
      <c r="I719" s="4" t="s">
        <v>205</v>
      </c>
      <c r="J719" s="6" t="n">
        <f aca="false">IFERROR(DATEVALUE(B719),"")</f>
        <v>45639</v>
      </c>
      <c r="K719" s="4" t="str">
        <f aca="false">IF(A719="","",PROPER(TRIM(C719)))</f>
        <v>Midwest</v>
      </c>
      <c r="L719" s="4" t="str">
        <f aca="false">IF(A719="","",PROPER(TRIM(D719)))</f>
        <v>Camping Gear</v>
      </c>
      <c r="M719" s="4" t="n">
        <f aca="false">IFERROR(VALUE(F719),0)</f>
        <v>1</v>
      </c>
      <c r="N719" s="7" t="n">
        <f aca="false">IFERROR(VALUE(SUBSTITUTE(G719,"$","")),0)</f>
        <v>88.88</v>
      </c>
      <c r="O719" s="4" t="n">
        <f aca="false">IF(A719="",0,IF(COUNTIF($A$2:A719,A719)&gt;1,1,0))</f>
        <v>1</v>
      </c>
      <c r="P719" s="4" t="n">
        <f aca="false">IF(AND(A719&lt;&gt;"",J719&lt;&gt;"",M719&gt;0,N719&gt;0,O719=0),1,0)</f>
        <v>0</v>
      </c>
      <c r="Q719" s="7" t="n">
        <f aca="false">IF(P719=1,M719*N719,0)</f>
        <v>0</v>
      </c>
    </row>
    <row r="720" customFormat="false" ht="15" hidden="false" customHeight="false" outlineLevel="0" collapsed="false">
      <c r="A720" s="4" t="n">
        <v>10515</v>
      </c>
      <c r="B720" s="4" t="s">
        <v>1623</v>
      </c>
      <c r="C720" s="4" t="s">
        <v>120</v>
      </c>
      <c r="D720" s="4" t="s">
        <v>81</v>
      </c>
      <c r="E720" s="4" t="s">
        <v>77</v>
      </c>
      <c r="F720" s="4" t="n">
        <v>1</v>
      </c>
      <c r="G720" s="4" t="s">
        <v>1664</v>
      </c>
      <c r="H720" s="4" t="s">
        <v>47</v>
      </c>
      <c r="I720" s="4" t="s">
        <v>1214</v>
      </c>
      <c r="J720" s="6" t="n">
        <f aca="false">IFERROR(DATEVALUE(B720),"")</f>
        <v>45530</v>
      </c>
      <c r="K720" s="4" t="str">
        <f aca="false">IF(A720="","",PROPER(TRIM(C720)))</f>
        <v>East</v>
      </c>
      <c r="L720" s="4" t="str">
        <f aca="false">IF(A720="","",PROPER(TRIM(D720)))</f>
        <v>Footwear</v>
      </c>
      <c r="M720" s="4" t="n">
        <f aca="false">IFERROR(VALUE(F720),0)</f>
        <v>1</v>
      </c>
      <c r="N720" s="7" t="n">
        <f aca="false">IFERROR(VALUE(SUBSTITUTE(G720,"$","")),0)</f>
        <v>122.72</v>
      </c>
      <c r="O720" s="4" t="n">
        <f aca="false">IF(A720="",0,IF(COUNTIF($A$2:A720,A720)&gt;1,1,0))</f>
        <v>0</v>
      </c>
      <c r="P720" s="4" t="n">
        <f aca="false">IF(AND(A720&lt;&gt;"",J720&lt;&gt;"",M720&gt;0,N720&gt;0,O720=0),1,0)</f>
        <v>1</v>
      </c>
      <c r="Q720" s="7" t="n">
        <f aca="false">IF(P720=1,M720*N720,0)</f>
        <v>122.72</v>
      </c>
    </row>
    <row r="721" customFormat="false" ht="15" hidden="false" customHeight="false" outlineLevel="0" collapsed="false">
      <c r="A721" s="4" t="n">
        <v>10401</v>
      </c>
      <c r="B721" s="4" t="s">
        <v>1665</v>
      </c>
      <c r="C721" s="4" t="s">
        <v>155</v>
      </c>
      <c r="D721" s="4" t="s">
        <v>101</v>
      </c>
      <c r="E721" s="4" t="s">
        <v>52</v>
      </c>
      <c r="F721" s="4" t="n">
        <v>2</v>
      </c>
      <c r="G721" s="4" t="s">
        <v>1666</v>
      </c>
      <c r="H721" s="4" t="s">
        <v>54</v>
      </c>
      <c r="I721" s="4" t="s">
        <v>335</v>
      </c>
      <c r="J721" s="6" t="n">
        <f aca="false">IFERROR(DATEVALUE(B721),"")</f>
        <v>45489</v>
      </c>
      <c r="K721" s="4" t="str">
        <f aca="false">IF(A721="","",PROPER(TRIM(C721)))</f>
        <v>South</v>
      </c>
      <c r="L721" s="4" t="str">
        <f aca="false">IF(A721="","",PROPER(TRIM(D721)))</f>
        <v>Accessories</v>
      </c>
      <c r="M721" s="4" t="n">
        <f aca="false">IFERROR(VALUE(F721),0)</f>
        <v>2</v>
      </c>
      <c r="N721" s="7" t="n">
        <f aca="false">IFERROR(VALUE(SUBSTITUTE(G721,"$","")),0)</f>
        <v>79.92</v>
      </c>
      <c r="O721" s="4" t="n">
        <f aca="false">IF(A721="",0,IF(COUNTIF($A$2:A721,A721)&gt;1,1,0))</f>
        <v>0</v>
      </c>
      <c r="P721" s="4" t="n">
        <f aca="false">IF(AND(A721&lt;&gt;"",J721&lt;&gt;"",M721&gt;0,N721&gt;0,O721=0),1,0)</f>
        <v>1</v>
      </c>
      <c r="Q721" s="7" t="n">
        <f aca="false">IF(P721=1,M721*N721,0)</f>
        <v>159.84</v>
      </c>
    </row>
    <row r="722" customFormat="false" ht="15" hidden="false" customHeight="false" outlineLevel="0" collapsed="false">
      <c r="A722" s="4" t="n">
        <v>10495</v>
      </c>
      <c r="B722" s="4" t="s">
        <v>1667</v>
      </c>
      <c r="C722" s="4" t="s">
        <v>50</v>
      </c>
      <c r="D722" s="4" t="s">
        <v>129</v>
      </c>
      <c r="E722" s="4" t="s">
        <v>125</v>
      </c>
      <c r="F722" s="4" t="n">
        <v>2</v>
      </c>
      <c r="G722" s="4" t="s">
        <v>1668</v>
      </c>
      <c r="H722" s="4" t="s">
        <v>54</v>
      </c>
      <c r="I722" s="4" t="s">
        <v>915</v>
      </c>
      <c r="J722" s="6" t="n">
        <f aca="false">IFERROR(DATEVALUE(B722),"")</f>
        <v>45747</v>
      </c>
      <c r="K722" s="4" t="str">
        <f aca="false">IF(A722="","",PROPER(TRIM(C722)))</f>
        <v>Midwest</v>
      </c>
      <c r="L722" s="4" t="str">
        <f aca="false">IF(A722="","",PROPER(TRIM(D722)))</f>
        <v>Climbing Gear</v>
      </c>
      <c r="M722" s="4" t="n">
        <f aca="false">IFERROR(VALUE(F722),0)</f>
        <v>2</v>
      </c>
      <c r="N722" s="7" t="n">
        <f aca="false">IFERROR(VALUE(SUBSTITUTE(G722,"$","")),0)</f>
        <v>96.05</v>
      </c>
      <c r="O722" s="4" t="n">
        <f aca="false">IF(A722="",0,IF(COUNTIF($A$2:A722,A722)&gt;1,1,0))</f>
        <v>0</v>
      </c>
      <c r="P722" s="4" t="n">
        <f aca="false">IF(AND(A722&lt;&gt;"",J722&lt;&gt;"",M722&gt;0,N722&gt;0,O722=0),1,0)</f>
        <v>1</v>
      </c>
      <c r="Q722" s="7" t="n">
        <f aca="false">IF(P722=1,M722*N722,0)</f>
        <v>192.1</v>
      </c>
    </row>
    <row r="723" customFormat="false" ht="15" hidden="false" customHeight="false" outlineLevel="0" collapsed="false">
      <c r="A723" s="4" t="n">
        <v>10294</v>
      </c>
      <c r="B723" s="4" t="s">
        <v>1669</v>
      </c>
      <c r="C723" s="4" t="s">
        <v>80</v>
      </c>
      <c r="D723" s="4" t="s">
        <v>124</v>
      </c>
      <c r="E723" s="4" t="s">
        <v>188</v>
      </c>
      <c r="F723" s="4" t="n">
        <v>3</v>
      </c>
      <c r="G723" s="4" t="s">
        <v>1670</v>
      </c>
      <c r="H723" s="4" t="s">
        <v>54</v>
      </c>
      <c r="I723" s="4" t="s">
        <v>600</v>
      </c>
      <c r="J723" s="6" t="n">
        <f aca="false">IFERROR(DATEVALUE(B723),"")</f>
        <v>45404</v>
      </c>
      <c r="K723" s="4" t="str">
        <f aca="false">IF(A723="","",PROPER(TRIM(C723)))</f>
        <v>South</v>
      </c>
      <c r="L723" s="4" t="str">
        <f aca="false">IF(A723="","",PROPER(TRIM(D723)))</f>
        <v>Climbing Gear</v>
      </c>
      <c r="M723" s="4" t="n">
        <f aca="false">IFERROR(VALUE(F723),0)</f>
        <v>3</v>
      </c>
      <c r="N723" s="7" t="n">
        <f aca="false">IFERROR(VALUE(SUBSTITUTE(G723,"$","")),0)</f>
        <v>20.43</v>
      </c>
      <c r="O723" s="4" t="n">
        <f aca="false">IF(A723="",0,IF(COUNTIF($A$2:A723,A723)&gt;1,1,0))</f>
        <v>0</v>
      </c>
      <c r="P723" s="4" t="n">
        <f aca="false">IF(AND(A723&lt;&gt;"",J723&lt;&gt;"",M723&gt;0,N723&gt;0,O723=0),1,0)</f>
        <v>1</v>
      </c>
      <c r="Q723" s="7" t="n">
        <f aca="false">IF(P723=1,M723*N723,0)</f>
        <v>61.29</v>
      </c>
    </row>
    <row r="724" customFormat="false" ht="15" hidden="false" customHeight="false" outlineLevel="0" collapsed="false">
      <c r="A724" s="4" t="n">
        <v>10199</v>
      </c>
      <c r="B724" s="4" t="s">
        <v>1337</v>
      </c>
      <c r="C724" s="4" t="s">
        <v>140</v>
      </c>
      <c r="D724" s="4" t="s">
        <v>217</v>
      </c>
      <c r="E724" s="4" t="s">
        <v>142</v>
      </c>
      <c r="F724" s="4" t="n">
        <v>4</v>
      </c>
      <c r="G724" s="4" t="s">
        <v>1671</v>
      </c>
      <c r="H724" s="4" t="s">
        <v>47</v>
      </c>
      <c r="I724" s="4" t="s">
        <v>343</v>
      </c>
      <c r="J724" s="6" t="n">
        <f aca="false">IFERROR(DATEVALUE(B724),"")</f>
        <v>45701</v>
      </c>
      <c r="K724" s="4" t="str">
        <f aca="false">IF(A724="","",PROPER(TRIM(C724)))</f>
        <v>South</v>
      </c>
      <c r="L724" s="4" t="str">
        <f aca="false">IF(A724="","",PROPER(TRIM(D724)))</f>
        <v>Apparel</v>
      </c>
      <c r="M724" s="4" t="n">
        <f aca="false">IFERROR(VALUE(F724),0)</f>
        <v>4</v>
      </c>
      <c r="N724" s="7" t="n">
        <f aca="false">IFERROR(VALUE(SUBSTITUTE(G724,"$","")),0)</f>
        <v>171.81</v>
      </c>
      <c r="O724" s="4" t="n">
        <f aca="false">IF(A724="",0,IF(COUNTIF($A$2:A724,A724)&gt;1,1,0))</f>
        <v>0</v>
      </c>
      <c r="P724" s="4" t="n">
        <f aca="false">IF(AND(A724&lt;&gt;"",J724&lt;&gt;"",M724&gt;0,N724&gt;0,O724=0),1,0)</f>
        <v>1</v>
      </c>
      <c r="Q724" s="7" t="n">
        <f aca="false">IF(P724=1,M724*N724,0)</f>
        <v>687.24</v>
      </c>
    </row>
    <row r="725" customFormat="false" ht="15" hidden="false" customHeight="false" outlineLevel="0" collapsed="false">
      <c r="A725" s="4" t="n">
        <v>10752</v>
      </c>
      <c r="B725" s="4" t="s">
        <v>1672</v>
      </c>
      <c r="C725" s="4" t="s">
        <v>229</v>
      </c>
      <c r="D725" s="4" t="s">
        <v>58</v>
      </c>
      <c r="E725" s="4" t="s">
        <v>188</v>
      </c>
      <c r="F725" s="4" t="n">
        <v>1</v>
      </c>
      <c r="G725" s="4" t="s">
        <v>1673</v>
      </c>
      <c r="H725" s="4" t="s">
        <v>54</v>
      </c>
      <c r="I725" s="4" t="s">
        <v>298</v>
      </c>
      <c r="J725" s="6" t="n">
        <f aca="false">IFERROR(DATEVALUE(B725),"")</f>
        <v>45576</v>
      </c>
      <c r="K725" s="4" t="str">
        <f aca="false">IF(A725="","",PROPER(TRIM(C725)))</f>
        <v>Midwest</v>
      </c>
      <c r="L725" s="4" t="str">
        <f aca="false">IF(A725="","",PROPER(TRIM(D725)))</f>
        <v>Climbing Gear</v>
      </c>
      <c r="M725" s="4" t="n">
        <f aca="false">IFERROR(VALUE(F725),0)</f>
        <v>1</v>
      </c>
      <c r="N725" s="7" t="n">
        <f aca="false">IFERROR(VALUE(SUBSTITUTE(G725,"$","")),0)</f>
        <v>18.61</v>
      </c>
      <c r="O725" s="4" t="n">
        <f aca="false">IF(A725="",0,IF(COUNTIF($A$2:A725,A725)&gt;1,1,0))</f>
        <v>0</v>
      </c>
      <c r="P725" s="4" t="n">
        <f aca="false">IF(AND(A725&lt;&gt;"",J725&lt;&gt;"",M725&gt;0,N725&gt;0,O725=0),1,0)</f>
        <v>1</v>
      </c>
      <c r="Q725" s="7" t="n">
        <f aca="false">IF(P725=1,M725*N725,0)</f>
        <v>18.61</v>
      </c>
    </row>
    <row r="726" customFormat="false" ht="15" hidden="false" customHeight="false" outlineLevel="0" collapsed="false">
      <c r="A726" s="4" t="n">
        <v>10210</v>
      </c>
      <c r="B726" s="4" t="s">
        <v>558</v>
      </c>
      <c r="C726" s="4" t="s">
        <v>105</v>
      </c>
      <c r="D726" s="4" t="s">
        <v>64</v>
      </c>
      <c r="E726" s="4" t="s">
        <v>111</v>
      </c>
      <c r="F726" s="4" t="n">
        <v>3</v>
      </c>
      <c r="G726" s="4" t="s">
        <v>1674</v>
      </c>
      <c r="H726" s="4" t="s">
        <v>47</v>
      </c>
      <c r="I726" s="4" t="s">
        <v>1235</v>
      </c>
      <c r="J726" s="6" t="n">
        <f aca="false">IFERROR(DATEVALUE(B726),"")</f>
        <v>45446</v>
      </c>
      <c r="K726" s="4" t="str">
        <f aca="false">IF(A726="","",PROPER(TRIM(C726)))</f>
        <v>Midwest</v>
      </c>
      <c r="L726" s="4" t="str">
        <f aca="false">IF(A726="","",PROPER(TRIM(D726)))</f>
        <v>Footwear</v>
      </c>
      <c r="M726" s="4" t="n">
        <f aca="false">IFERROR(VALUE(F726),0)</f>
        <v>3</v>
      </c>
      <c r="N726" s="7" t="n">
        <f aca="false">IFERROR(VALUE(SUBSTITUTE(G726,"$","")),0)</f>
        <v>101.5</v>
      </c>
      <c r="O726" s="4" t="n">
        <f aca="false">IF(A726="",0,IF(COUNTIF($A$2:A726,A726)&gt;1,1,0))</f>
        <v>0</v>
      </c>
      <c r="P726" s="4" t="n">
        <f aca="false">IF(AND(A726&lt;&gt;"",J726&lt;&gt;"",M726&gt;0,N726&gt;0,O726=0),1,0)</f>
        <v>1</v>
      </c>
      <c r="Q726" s="7" t="n">
        <f aca="false">IF(P726=1,M726*N726,0)</f>
        <v>304.5</v>
      </c>
    </row>
    <row r="727" customFormat="false" ht="15" hidden="false" customHeight="false" outlineLevel="0" collapsed="false">
      <c r="A727" s="4" t="n">
        <v>10185</v>
      </c>
      <c r="B727" s="4" t="s">
        <v>1675</v>
      </c>
      <c r="C727" s="4" t="s">
        <v>149</v>
      </c>
      <c r="D727" s="4" t="s">
        <v>387</v>
      </c>
      <c r="E727" s="4" t="s">
        <v>251</v>
      </c>
      <c r="F727" s="4" t="n">
        <v>2</v>
      </c>
      <c r="G727" s="4" t="s">
        <v>1676</v>
      </c>
      <c r="H727" s="4" t="s">
        <v>54</v>
      </c>
      <c r="I727" s="4" t="s">
        <v>1158</v>
      </c>
      <c r="J727" s="6" t="n">
        <f aca="false">IFERROR(DATEVALUE(B727),"")</f>
        <v>45761</v>
      </c>
      <c r="K727" s="4" t="str">
        <f aca="false">IF(A727="","",PROPER(TRIM(C727)))</f>
        <v>East</v>
      </c>
      <c r="L727" s="4" t="str">
        <f aca="false">IF(A727="","",PROPER(TRIM(D727)))</f>
        <v>Camping Gear</v>
      </c>
      <c r="M727" s="4" t="n">
        <f aca="false">IFERROR(VALUE(F727),0)</f>
        <v>2</v>
      </c>
      <c r="N727" s="7" t="n">
        <f aca="false">IFERROR(VALUE(SUBSTITUTE(G727,"$","")),0)</f>
        <v>76.53</v>
      </c>
      <c r="O727" s="4" t="n">
        <f aca="false">IF(A727="",0,IF(COUNTIF($A$2:A727,A727)&gt;1,1,0))</f>
        <v>0</v>
      </c>
      <c r="P727" s="4" t="n">
        <f aca="false">IF(AND(A727&lt;&gt;"",J727&lt;&gt;"",M727&gt;0,N727&gt;0,O727=0),1,0)</f>
        <v>1</v>
      </c>
      <c r="Q727" s="7" t="n">
        <f aca="false">IF(P727=1,M727*N727,0)</f>
        <v>153.06</v>
      </c>
    </row>
    <row r="728" customFormat="false" ht="15" hidden="false" customHeight="false" outlineLevel="0" collapsed="false">
      <c r="A728" s="4" t="n">
        <v>10721</v>
      </c>
      <c r="B728" s="4" t="s">
        <v>1677</v>
      </c>
      <c r="C728" s="4" t="s">
        <v>187</v>
      </c>
      <c r="D728" s="4" t="s">
        <v>58</v>
      </c>
      <c r="E728" s="4" t="s">
        <v>59</v>
      </c>
      <c r="F728" s="4" t="n">
        <v>1</v>
      </c>
      <c r="G728" s="4" t="s">
        <v>1678</v>
      </c>
      <c r="H728" s="4" t="s">
        <v>47</v>
      </c>
      <c r="I728" s="4" t="s">
        <v>1032</v>
      </c>
      <c r="J728" s="6" t="n">
        <f aca="false">IFERROR(DATEVALUE(B728),"")</f>
        <v>45528</v>
      </c>
      <c r="K728" s="4" t="str">
        <f aca="false">IF(A728="","",PROPER(TRIM(C728)))</f>
        <v>East</v>
      </c>
      <c r="L728" s="4" t="str">
        <f aca="false">IF(A728="","",PROPER(TRIM(D728)))</f>
        <v>Climbing Gear</v>
      </c>
      <c r="M728" s="4" t="n">
        <f aca="false">IFERROR(VALUE(F728),0)</f>
        <v>1</v>
      </c>
      <c r="N728" s="7" t="n">
        <f aca="false">IFERROR(VALUE(SUBSTITUTE(G728,"$","")),0)</f>
        <v>44.17</v>
      </c>
      <c r="O728" s="4" t="n">
        <f aca="false">IF(A728="",0,IF(COUNTIF($A$2:A728,A728)&gt;1,1,0))</f>
        <v>0</v>
      </c>
      <c r="P728" s="4" t="n">
        <f aca="false">IF(AND(A728&lt;&gt;"",J728&lt;&gt;"",M728&gt;0,N728&gt;0,O728=0),1,0)</f>
        <v>1</v>
      </c>
      <c r="Q728" s="7" t="n">
        <f aca="false">IF(P728=1,M728*N728,0)</f>
        <v>44.17</v>
      </c>
    </row>
    <row r="729" customFormat="false" ht="15" hidden="false" customHeight="false" outlineLevel="0" collapsed="false">
      <c r="A729" s="4" t="n">
        <v>10616</v>
      </c>
      <c r="B729" s="4" t="s">
        <v>1679</v>
      </c>
      <c r="C729" s="4" t="s">
        <v>183</v>
      </c>
      <c r="D729" s="4" t="s">
        <v>150</v>
      </c>
      <c r="E729" s="4" t="s">
        <v>111</v>
      </c>
      <c r="F729" s="4" t="n">
        <v>2</v>
      </c>
      <c r="G729" s="4" t="s">
        <v>1680</v>
      </c>
      <c r="H729" s="4" t="s">
        <v>73</v>
      </c>
      <c r="I729" s="4" t="s">
        <v>1681</v>
      </c>
      <c r="J729" s="6" t="n">
        <f aca="false">IFERROR(DATEVALUE(B729),"")</f>
        <v>45483</v>
      </c>
      <c r="K729" s="4" t="str">
        <f aca="false">IF(A729="","",PROPER(TRIM(C729)))</f>
        <v>West</v>
      </c>
      <c r="L729" s="4" t="str">
        <f aca="false">IF(A729="","",PROPER(TRIM(D729)))</f>
        <v>Footwear</v>
      </c>
      <c r="M729" s="4" t="n">
        <f aca="false">IFERROR(VALUE(F729),0)</f>
        <v>2</v>
      </c>
      <c r="N729" s="7" t="n">
        <f aca="false">IFERROR(VALUE(SUBSTITUTE(G729,"$","")),0)</f>
        <v>101.99</v>
      </c>
      <c r="O729" s="4" t="n">
        <f aca="false">IF(A729="",0,IF(COUNTIF($A$2:A729,A729)&gt;1,1,0))</f>
        <v>0</v>
      </c>
      <c r="P729" s="4" t="n">
        <f aca="false">IF(AND(A729&lt;&gt;"",J729&lt;&gt;"",M729&gt;0,N729&gt;0,O729=0),1,0)</f>
        <v>1</v>
      </c>
      <c r="Q729" s="7" t="n">
        <f aca="false">IF(P729=1,M729*N729,0)</f>
        <v>203.98</v>
      </c>
    </row>
    <row r="730" customFormat="false" ht="15" hidden="false" customHeight="false" outlineLevel="0" collapsed="false">
      <c r="A730" s="4" t="n">
        <v>10014</v>
      </c>
      <c r="B730" s="4" t="s">
        <v>1682</v>
      </c>
      <c r="C730" s="4" t="s">
        <v>149</v>
      </c>
      <c r="D730" s="4" t="s">
        <v>51</v>
      </c>
      <c r="E730" s="4" t="s">
        <v>52</v>
      </c>
      <c r="F730" s="4" t="n">
        <v>2</v>
      </c>
      <c r="G730" s="4" t="s">
        <v>1683</v>
      </c>
      <c r="H730" s="4" t="s">
        <v>47</v>
      </c>
      <c r="I730" s="4" t="s">
        <v>1684</v>
      </c>
      <c r="J730" s="6" t="n">
        <f aca="false">IFERROR(DATEVALUE(B730),"")</f>
        <v>45702</v>
      </c>
      <c r="K730" s="4" t="str">
        <f aca="false">IF(A730="","",PROPER(TRIM(C730)))</f>
        <v>East</v>
      </c>
      <c r="L730" s="4" t="str">
        <f aca="false">IF(A730="","",PROPER(TRIM(D730)))</f>
        <v>Accessories</v>
      </c>
      <c r="M730" s="4" t="n">
        <f aca="false">IFERROR(VALUE(F730),0)</f>
        <v>2</v>
      </c>
      <c r="N730" s="7" t="n">
        <f aca="false">IFERROR(VALUE(SUBSTITUTE(G730,"$","")),0)</f>
        <v>93.62</v>
      </c>
      <c r="O730" s="4" t="n">
        <f aca="false">IF(A730="",0,IF(COUNTIF($A$2:A730,A730)&gt;1,1,0))</f>
        <v>0</v>
      </c>
      <c r="P730" s="4" t="n">
        <f aca="false">IF(AND(A730&lt;&gt;"",J730&lt;&gt;"",M730&gt;0,N730&gt;0,O730=0),1,0)</f>
        <v>1</v>
      </c>
      <c r="Q730" s="7" t="n">
        <f aca="false">IF(P730=1,M730*N730,0)</f>
        <v>187.24</v>
      </c>
    </row>
    <row r="731" customFormat="false" ht="15" hidden="false" customHeight="false" outlineLevel="0" collapsed="false">
      <c r="A731" s="4" t="n">
        <v>10524</v>
      </c>
      <c r="B731" s="4" t="s">
        <v>1685</v>
      </c>
      <c r="C731" s="4" t="s">
        <v>149</v>
      </c>
      <c r="D731" s="4" t="s">
        <v>217</v>
      </c>
      <c r="E731" s="4" t="s">
        <v>89</v>
      </c>
      <c r="F731" s="4" t="n">
        <v>1</v>
      </c>
      <c r="G731" s="4" t="s">
        <v>1686</v>
      </c>
      <c r="H731" s="4" t="s">
        <v>47</v>
      </c>
      <c r="I731" s="4" t="s">
        <v>1405</v>
      </c>
      <c r="J731" s="6" t="n">
        <f aca="false">IFERROR(DATEVALUE(B731),"")</f>
        <v>45465</v>
      </c>
      <c r="K731" s="4" t="str">
        <f aca="false">IF(A731="","",PROPER(TRIM(C731)))</f>
        <v>East</v>
      </c>
      <c r="L731" s="4" t="str">
        <f aca="false">IF(A731="","",PROPER(TRIM(D731)))</f>
        <v>Apparel</v>
      </c>
      <c r="M731" s="4" t="n">
        <f aca="false">IFERROR(VALUE(F731),0)</f>
        <v>1</v>
      </c>
      <c r="N731" s="7" t="n">
        <f aca="false">IFERROR(VALUE(SUBSTITUTE(G731,"$","")),0)</f>
        <v>61.39</v>
      </c>
      <c r="O731" s="4" t="n">
        <f aca="false">IF(A731="",0,IF(COUNTIF($A$2:A731,A731)&gt;1,1,0))</f>
        <v>0</v>
      </c>
      <c r="P731" s="4" t="n">
        <f aca="false">IF(AND(A731&lt;&gt;"",J731&lt;&gt;"",M731&gt;0,N731&gt;0,O731=0),1,0)</f>
        <v>1</v>
      </c>
      <c r="Q731" s="7" t="n">
        <f aca="false">IF(P731=1,M731*N731,0)</f>
        <v>61.39</v>
      </c>
    </row>
    <row r="732" customFormat="false" ht="15" hidden="false" customHeight="false" outlineLevel="0" collapsed="false">
      <c r="A732" s="4" t="n">
        <v>10581</v>
      </c>
      <c r="B732" s="4" t="s">
        <v>356</v>
      </c>
      <c r="C732" s="4" t="s">
        <v>155</v>
      </c>
      <c r="D732" s="4" t="s">
        <v>70</v>
      </c>
      <c r="E732" s="4" t="s">
        <v>448</v>
      </c>
      <c r="F732" s="4" t="n">
        <v>1</v>
      </c>
      <c r="G732" s="4" t="s">
        <v>1687</v>
      </c>
      <c r="H732" s="4" t="s">
        <v>54</v>
      </c>
      <c r="I732" s="4" t="s">
        <v>1149</v>
      </c>
      <c r="J732" s="6" t="n">
        <f aca="false">IFERROR(DATEVALUE(B732),"")</f>
        <v>45484</v>
      </c>
      <c r="K732" s="4" t="str">
        <f aca="false">IF(A732="","",PROPER(TRIM(C732)))</f>
        <v>South</v>
      </c>
      <c r="L732" s="4" t="str">
        <f aca="false">IF(A732="","",PROPER(TRIM(D732)))</f>
        <v>Camping Gear</v>
      </c>
      <c r="M732" s="4" t="n">
        <f aca="false">IFERROR(VALUE(F732),0)</f>
        <v>1</v>
      </c>
      <c r="N732" s="7" t="n">
        <f aca="false">IFERROR(VALUE(SUBSTITUTE(G732,"$","")),0)</f>
        <v>202.53</v>
      </c>
      <c r="O732" s="4" t="n">
        <f aca="false">IF(A732="",0,IF(COUNTIF($A$2:A732,A732)&gt;1,1,0))</f>
        <v>0</v>
      </c>
      <c r="P732" s="4" t="n">
        <f aca="false">IF(AND(A732&lt;&gt;"",J732&lt;&gt;"",M732&gt;0,N732&gt;0,O732=0),1,0)</f>
        <v>1</v>
      </c>
      <c r="Q732" s="7" t="n">
        <f aca="false">IF(P732=1,M732*N732,0)</f>
        <v>202.53</v>
      </c>
    </row>
    <row r="733" customFormat="false" ht="15" hidden="false" customHeight="false" outlineLevel="0" collapsed="false">
      <c r="A733" s="4" t="n">
        <v>10156</v>
      </c>
      <c r="B733" s="4" t="s">
        <v>1688</v>
      </c>
      <c r="C733" s="4" t="s">
        <v>229</v>
      </c>
      <c r="D733" s="4" t="s">
        <v>150</v>
      </c>
      <c r="E733" s="4" t="s">
        <v>151</v>
      </c>
      <c r="F733" s="4" t="n">
        <v>2</v>
      </c>
      <c r="G733" s="4" t="s">
        <v>1689</v>
      </c>
      <c r="H733" s="4" t="s">
        <v>54</v>
      </c>
      <c r="I733" s="4" t="s">
        <v>1690</v>
      </c>
      <c r="J733" s="6" t="n">
        <f aca="false">IFERROR(DATEVALUE(B733),"")</f>
        <v>45294</v>
      </c>
      <c r="K733" s="4" t="str">
        <f aca="false">IF(A733="","",PROPER(TRIM(C733)))</f>
        <v>Midwest</v>
      </c>
      <c r="L733" s="4" t="str">
        <f aca="false">IF(A733="","",PROPER(TRIM(D733)))</f>
        <v>Footwear</v>
      </c>
      <c r="M733" s="4" t="n">
        <f aca="false">IFERROR(VALUE(F733),0)</f>
        <v>2</v>
      </c>
      <c r="N733" s="7" t="n">
        <f aca="false">IFERROR(VALUE(SUBSTITUTE(G733,"$","")),0)</f>
        <v>135.39</v>
      </c>
      <c r="O733" s="4" t="n">
        <f aca="false">IF(A733="",0,IF(COUNTIF($A$2:A733,A733)&gt;1,1,0))</f>
        <v>0</v>
      </c>
      <c r="P733" s="4" t="n">
        <f aca="false">IF(AND(A733&lt;&gt;"",J733&lt;&gt;"",M733&gt;0,N733&gt;0,O733=0),1,0)</f>
        <v>1</v>
      </c>
      <c r="Q733" s="7" t="n">
        <f aca="false">IF(P733=1,M733*N733,0)</f>
        <v>270.78</v>
      </c>
    </row>
    <row r="734" customFormat="false" ht="15" hidden="false" customHeight="false" outlineLevel="0" collapsed="false">
      <c r="A734" s="4" t="n">
        <v>10532</v>
      </c>
      <c r="B734" s="4" t="s">
        <v>1691</v>
      </c>
      <c r="C734" s="4" t="s">
        <v>155</v>
      </c>
      <c r="D734" s="4" t="s">
        <v>64</v>
      </c>
      <c r="E734" s="4" t="s">
        <v>111</v>
      </c>
      <c r="F734" s="4" t="n">
        <v>3</v>
      </c>
      <c r="G734" s="4" t="s">
        <v>655</v>
      </c>
      <c r="H734" s="4" t="s">
        <v>54</v>
      </c>
      <c r="I734" s="4" t="s">
        <v>433</v>
      </c>
      <c r="J734" s="6" t="n">
        <f aca="false">IFERROR(DATEVALUE(B734),"")</f>
        <v>45368</v>
      </c>
      <c r="K734" s="4" t="str">
        <f aca="false">IF(A734="","",PROPER(TRIM(C734)))</f>
        <v>South</v>
      </c>
      <c r="L734" s="4" t="str">
        <f aca="false">IF(A734="","",PROPER(TRIM(D734)))</f>
        <v>Footwear</v>
      </c>
      <c r="M734" s="4" t="n">
        <f aca="false">IFERROR(VALUE(F734),0)</f>
        <v>3</v>
      </c>
      <c r="N734" s="7" t="n">
        <f aca="false">IFERROR(VALUE(SUBSTITUTE(G734,"$","")),0)</f>
        <v>91.55</v>
      </c>
      <c r="O734" s="4" t="n">
        <f aca="false">IF(A734="",0,IF(COUNTIF($A$2:A734,A734)&gt;1,1,0))</f>
        <v>0</v>
      </c>
      <c r="P734" s="4" t="n">
        <f aca="false">IF(AND(A734&lt;&gt;"",J734&lt;&gt;"",M734&gt;0,N734&gt;0,O734=0),1,0)</f>
        <v>1</v>
      </c>
      <c r="Q734" s="7" t="n">
        <f aca="false">IF(P734=1,M734*N734,0)</f>
        <v>274.65</v>
      </c>
    </row>
    <row r="735" customFormat="false" ht="15" hidden="false" customHeight="false" outlineLevel="0" collapsed="false">
      <c r="A735" s="4" t="n">
        <v>10732</v>
      </c>
      <c r="B735" s="4" t="s">
        <v>1105</v>
      </c>
      <c r="C735" s="4" t="s">
        <v>57</v>
      </c>
      <c r="D735" s="4" t="s">
        <v>101</v>
      </c>
      <c r="E735" s="4" t="s">
        <v>45</v>
      </c>
      <c r="F735" s="4" t="n">
        <v>1</v>
      </c>
      <c r="G735" s="4" t="s">
        <v>1692</v>
      </c>
      <c r="H735" s="4" t="s">
        <v>47</v>
      </c>
      <c r="I735" s="4" t="s">
        <v>235</v>
      </c>
      <c r="J735" s="6" t="n">
        <f aca="false">IFERROR(DATEVALUE(B735),"")</f>
        <v>45293</v>
      </c>
      <c r="K735" s="4" t="str">
        <f aca="false">IF(A735="","",PROPER(TRIM(C735)))</f>
        <v>West</v>
      </c>
      <c r="L735" s="4" t="str">
        <f aca="false">IF(A735="","",PROPER(TRIM(D735)))</f>
        <v>Accessories</v>
      </c>
      <c r="M735" s="4" t="n">
        <f aca="false">IFERROR(VALUE(F735),0)</f>
        <v>1</v>
      </c>
      <c r="N735" s="7" t="n">
        <f aca="false">IFERROR(VALUE(SUBSTITUTE(G735,"$","")),0)</f>
        <v>53.18</v>
      </c>
      <c r="O735" s="4" t="n">
        <f aca="false">IF(A735="",0,IF(COUNTIF($A$2:A735,A735)&gt;1,1,0))</f>
        <v>0</v>
      </c>
      <c r="P735" s="4" t="n">
        <f aca="false">IF(AND(A735&lt;&gt;"",J735&lt;&gt;"",M735&gt;0,N735&gt;0,O735=0),1,0)</f>
        <v>1</v>
      </c>
      <c r="Q735" s="7" t="n">
        <f aca="false">IF(P735=1,M735*N735,0)</f>
        <v>53.18</v>
      </c>
    </row>
    <row r="736" customFormat="false" ht="15" hidden="false" customHeight="false" outlineLevel="0" collapsed="false">
      <c r="A736" s="4" t="n">
        <v>10013</v>
      </c>
      <c r="B736" s="4" t="s">
        <v>1693</v>
      </c>
      <c r="C736" s="4" t="s">
        <v>541</v>
      </c>
      <c r="D736" s="4" t="s">
        <v>101</v>
      </c>
      <c r="E736" s="4" t="s">
        <v>45</v>
      </c>
      <c r="F736" s="4" t="n">
        <v>3</v>
      </c>
      <c r="G736" s="4" t="s">
        <v>1694</v>
      </c>
      <c r="H736" s="4" t="s">
        <v>54</v>
      </c>
      <c r="I736" s="4" t="s">
        <v>1080</v>
      </c>
      <c r="J736" s="6" t="n">
        <f aca="false">IFERROR(DATEVALUE(B736),"")</f>
        <v>45597</v>
      </c>
      <c r="K736" s="4" t="str">
        <f aca="false">IF(A736="","",PROPER(TRIM(C736)))</f>
        <v>West</v>
      </c>
      <c r="L736" s="4" t="str">
        <f aca="false">IF(A736="","",PROPER(TRIM(D736)))</f>
        <v>Accessories</v>
      </c>
      <c r="M736" s="4" t="n">
        <f aca="false">IFERROR(VALUE(F736),0)</f>
        <v>3</v>
      </c>
      <c r="N736" s="7" t="n">
        <f aca="false">IFERROR(VALUE(SUBSTITUTE(G736,"$","")),0)</f>
        <v>54.47</v>
      </c>
      <c r="O736" s="4" t="n">
        <f aca="false">IF(A736="",0,IF(COUNTIF($A$2:A736,A736)&gt;1,1,0))</f>
        <v>0</v>
      </c>
      <c r="P736" s="4" t="n">
        <f aca="false">IF(AND(A736&lt;&gt;"",J736&lt;&gt;"",M736&gt;0,N736&gt;0,O736=0),1,0)</f>
        <v>1</v>
      </c>
      <c r="Q736" s="7" t="n">
        <f aca="false">IF(P736=1,M736*N736,0)</f>
        <v>163.41</v>
      </c>
    </row>
    <row r="737" customFormat="false" ht="15" hidden="false" customHeight="false" outlineLevel="0" collapsed="false">
      <c r="A737" s="4" t="n">
        <v>10431</v>
      </c>
      <c r="B737" s="4" t="s">
        <v>1695</v>
      </c>
      <c r="C737" s="4" t="s">
        <v>57</v>
      </c>
      <c r="D737" s="4" t="s">
        <v>101</v>
      </c>
      <c r="E737" s="4" t="s">
        <v>160</v>
      </c>
      <c r="F737" s="4" t="n">
        <v>4</v>
      </c>
      <c r="G737" s="4" t="s">
        <v>1696</v>
      </c>
      <c r="H737" s="4" t="s">
        <v>54</v>
      </c>
      <c r="I737" s="4" t="s">
        <v>1697</v>
      </c>
      <c r="J737" s="6" t="n">
        <f aca="false">IFERROR(DATEVALUE(B737),"")</f>
        <v>45603</v>
      </c>
      <c r="K737" s="4" t="str">
        <f aca="false">IF(A737="","",PROPER(TRIM(C737)))</f>
        <v>West</v>
      </c>
      <c r="L737" s="4" t="str">
        <f aca="false">IF(A737="","",PROPER(TRIM(D737)))</f>
        <v>Accessories</v>
      </c>
      <c r="M737" s="4" t="n">
        <f aca="false">IFERROR(VALUE(F737),0)</f>
        <v>4</v>
      </c>
      <c r="N737" s="7" t="n">
        <f aca="false">IFERROR(VALUE(SUBSTITUTE(G737,"$","")),0)</f>
        <v>27.93</v>
      </c>
      <c r="O737" s="4" t="n">
        <f aca="false">IF(A737="",0,IF(COUNTIF($A$2:A737,A737)&gt;1,1,0))</f>
        <v>0</v>
      </c>
      <c r="P737" s="4" t="n">
        <f aca="false">IF(AND(A737&lt;&gt;"",J737&lt;&gt;"",M737&gt;0,N737&gt;0,O737=0),1,0)</f>
        <v>1</v>
      </c>
      <c r="Q737" s="7" t="n">
        <f aca="false">IF(P737=1,M737*N737,0)</f>
        <v>111.72</v>
      </c>
    </row>
    <row r="738" customFormat="false" ht="15" hidden="false" customHeight="false" outlineLevel="0" collapsed="false">
      <c r="A738" s="4" t="n">
        <v>10282</v>
      </c>
      <c r="B738" s="4" t="s">
        <v>1698</v>
      </c>
      <c r="C738" s="4" t="s">
        <v>155</v>
      </c>
      <c r="D738" s="4" t="s">
        <v>51</v>
      </c>
      <c r="E738" s="4" t="s">
        <v>52</v>
      </c>
      <c r="F738" s="4" t="n">
        <v>2</v>
      </c>
      <c r="G738" s="4" t="s">
        <v>1699</v>
      </c>
      <c r="H738" s="4" t="s">
        <v>54</v>
      </c>
      <c r="I738" s="4" t="s">
        <v>1074</v>
      </c>
      <c r="J738" s="6" t="n">
        <f aca="false">IFERROR(DATEVALUE(B738),"")</f>
        <v>45758</v>
      </c>
      <c r="K738" s="4" t="str">
        <f aca="false">IF(A738="","",PROPER(TRIM(C738)))</f>
        <v>South</v>
      </c>
      <c r="L738" s="4" t="str">
        <f aca="false">IF(A738="","",PROPER(TRIM(D738)))</f>
        <v>Accessories</v>
      </c>
      <c r="M738" s="4" t="n">
        <f aca="false">IFERROR(VALUE(F738),0)</f>
        <v>2</v>
      </c>
      <c r="N738" s="7" t="n">
        <f aca="false">IFERROR(VALUE(SUBSTITUTE(G738,"$","")),0)</f>
        <v>87.54</v>
      </c>
      <c r="O738" s="4" t="n">
        <f aca="false">IF(A738="",0,IF(COUNTIF($A$2:A738,A738)&gt;1,1,0))</f>
        <v>0</v>
      </c>
      <c r="P738" s="4" t="n">
        <f aca="false">IF(AND(A738&lt;&gt;"",J738&lt;&gt;"",M738&gt;0,N738&gt;0,O738=0),1,0)</f>
        <v>1</v>
      </c>
      <c r="Q738" s="7" t="n">
        <f aca="false">IF(P738=1,M738*N738,0)</f>
        <v>175.08</v>
      </c>
    </row>
    <row r="739" customFormat="false" ht="15" hidden="false" customHeight="false" outlineLevel="0" collapsed="false">
      <c r="A739" s="4" t="n">
        <v>10592</v>
      </c>
      <c r="B739" s="4" t="s">
        <v>736</v>
      </c>
      <c r="C739" s="4" t="s">
        <v>93</v>
      </c>
      <c r="D739" s="4" t="s">
        <v>106</v>
      </c>
      <c r="E739" s="4" t="s">
        <v>65</v>
      </c>
      <c r="F739" s="4" t="n">
        <v>3</v>
      </c>
      <c r="G739" s="4" t="s">
        <v>1700</v>
      </c>
      <c r="H739" s="4" t="s">
        <v>73</v>
      </c>
      <c r="I739" s="4" t="s">
        <v>1274</v>
      </c>
      <c r="J739" s="6" t="n">
        <f aca="false">IFERROR(DATEVALUE(B739),"")</f>
        <v>45445</v>
      </c>
      <c r="K739" s="4" t="str">
        <f aca="false">IF(A739="","",PROPER(TRIM(C739)))</f>
        <v>West</v>
      </c>
      <c r="L739" s="4" t="str">
        <f aca="false">IF(A739="","",PROPER(TRIM(D739)))</f>
        <v>Footwear</v>
      </c>
      <c r="M739" s="4" t="n">
        <f aca="false">IFERROR(VALUE(F739),0)</f>
        <v>3</v>
      </c>
      <c r="N739" s="7" t="n">
        <f aca="false">IFERROR(VALUE(SUBSTITUTE(G739,"$","")),0)</f>
        <v>53</v>
      </c>
      <c r="O739" s="4" t="n">
        <f aca="false">IF(A739="",0,IF(COUNTIF($A$2:A739,A739)&gt;1,1,0))</f>
        <v>0</v>
      </c>
      <c r="P739" s="4" t="n">
        <f aca="false">IF(AND(A739&lt;&gt;"",J739&lt;&gt;"",M739&gt;0,N739&gt;0,O739=0),1,0)</f>
        <v>1</v>
      </c>
      <c r="Q739" s="7" t="n">
        <f aca="false">IF(P739=1,M739*N739,0)</f>
        <v>159</v>
      </c>
    </row>
    <row r="740" customFormat="false" ht="15" hidden="false" customHeight="false" outlineLevel="0" collapsed="false">
      <c r="A740" s="4" t="n">
        <v>10228</v>
      </c>
      <c r="B740" s="4" t="s">
        <v>1701</v>
      </c>
      <c r="C740" s="4" t="s">
        <v>50</v>
      </c>
      <c r="D740" s="4" t="s">
        <v>230</v>
      </c>
      <c r="E740" s="4" t="s">
        <v>142</v>
      </c>
      <c r="F740" s="4" t="n">
        <v>1</v>
      </c>
      <c r="G740" s="4" t="s">
        <v>1702</v>
      </c>
      <c r="H740" s="4" t="s">
        <v>47</v>
      </c>
      <c r="I740" s="4" t="s">
        <v>728</v>
      </c>
      <c r="J740" s="6" t="n">
        <f aca="false">IFERROR(DATEVALUE(B740),"")</f>
        <v>45573</v>
      </c>
      <c r="K740" s="4" t="str">
        <f aca="false">IF(A740="","",PROPER(TRIM(C740)))</f>
        <v>Midwest</v>
      </c>
      <c r="L740" s="4" t="str">
        <f aca="false">IF(A740="","",PROPER(TRIM(D740)))</f>
        <v>Apparel</v>
      </c>
      <c r="M740" s="4" t="n">
        <f aca="false">IFERROR(VALUE(F740),0)</f>
        <v>1</v>
      </c>
      <c r="N740" s="7" t="n">
        <f aca="false">IFERROR(VALUE(SUBSTITUTE(G740,"$","")),0)</f>
        <v>170.37</v>
      </c>
      <c r="O740" s="4" t="n">
        <f aca="false">IF(A740="",0,IF(COUNTIF($A$2:A740,A740)&gt;1,1,0))</f>
        <v>0</v>
      </c>
      <c r="P740" s="4" t="n">
        <f aca="false">IF(AND(A740&lt;&gt;"",J740&lt;&gt;"",M740&gt;0,N740&gt;0,O740=0),1,0)</f>
        <v>1</v>
      </c>
      <c r="Q740" s="7" t="n">
        <f aca="false">IF(P740=1,M740*N740,0)</f>
        <v>170.37</v>
      </c>
    </row>
    <row r="741" customFormat="false" ht="15" hidden="false" customHeight="false" outlineLevel="0" collapsed="false">
      <c r="A741" s="4" t="n">
        <v>10040</v>
      </c>
      <c r="B741" s="4" t="s">
        <v>952</v>
      </c>
      <c r="C741" s="4" t="s">
        <v>155</v>
      </c>
      <c r="D741" s="4" t="s">
        <v>115</v>
      </c>
      <c r="E741" s="4" t="s">
        <v>116</v>
      </c>
      <c r="F741" s="4" t="n">
        <v>1</v>
      </c>
      <c r="G741" s="4" t="s">
        <v>1703</v>
      </c>
      <c r="H741" s="4" t="s">
        <v>47</v>
      </c>
      <c r="I741" s="4" t="s">
        <v>476</v>
      </c>
      <c r="J741" s="6" t="n">
        <f aca="false">IFERROR(DATEVALUE(B741),"")</f>
        <v>45789</v>
      </c>
      <c r="K741" s="4" t="str">
        <f aca="false">IF(A741="","",PROPER(TRIM(C741)))</f>
        <v>South</v>
      </c>
      <c r="L741" s="4" t="str">
        <f aca="false">IF(A741="","",PROPER(TRIM(D741)))</f>
        <v>Apparel</v>
      </c>
      <c r="M741" s="4" t="n">
        <f aca="false">IFERROR(VALUE(F741),0)</f>
        <v>1</v>
      </c>
      <c r="N741" s="7" t="n">
        <f aca="false">IFERROR(VALUE(SUBSTITUTE(G741,"$","")),0)</f>
        <v>78.7</v>
      </c>
      <c r="O741" s="4" t="n">
        <f aca="false">IF(A741="",0,IF(COUNTIF($A$2:A741,A741)&gt;1,1,0))</f>
        <v>0</v>
      </c>
      <c r="P741" s="4" t="n">
        <f aca="false">IF(AND(A741&lt;&gt;"",J741&lt;&gt;"",M741&gt;0,N741&gt;0,O741=0),1,0)</f>
        <v>1</v>
      </c>
      <c r="Q741" s="7" t="n">
        <f aca="false">IF(P741=1,M741*N741,0)</f>
        <v>78.7</v>
      </c>
    </row>
    <row r="742" customFormat="false" ht="15" hidden="false" customHeight="false" outlineLevel="0" collapsed="false">
      <c r="A742" s="4" t="n">
        <v>10751</v>
      </c>
      <c r="B742" s="4" t="s">
        <v>1488</v>
      </c>
      <c r="C742" s="4" t="s">
        <v>332</v>
      </c>
      <c r="D742" s="4" t="s">
        <v>217</v>
      </c>
      <c r="E742" s="4" t="s">
        <v>142</v>
      </c>
      <c r="F742" s="4" t="n">
        <v>1</v>
      </c>
      <c r="G742" s="4"/>
      <c r="H742" s="4" t="s">
        <v>73</v>
      </c>
      <c r="I742" s="4" t="s">
        <v>644</v>
      </c>
      <c r="J742" s="6" t="n">
        <f aca="false">IFERROR(DATEVALUE(B742),"")</f>
        <v>45530</v>
      </c>
      <c r="K742" s="4" t="str">
        <f aca="false">IF(A742="","",PROPER(TRIM(C742)))</f>
        <v>West</v>
      </c>
      <c r="L742" s="4" t="str">
        <f aca="false">IF(A742="","",PROPER(TRIM(D742)))</f>
        <v>Apparel</v>
      </c>
      <c r="M742" s="4" t="n">
        <f aca="false">IFERROR(VALUE(F742),0)</f>
        <v>1</v>
      </c>
      <c r="N742" s="7" t="n">
        <f aca="false">IFERROR(VALUE(SUBSTITUTE(G742,"$","")),0)</f>
        <v>0</v>
      </c>
      <c r="O742" s="4" t="n">
        <f aca="false">IF(A742="",0,IF(COUNTIF($A$2:A742,A742)&gt;1,1,0))</f>
        <v>0</v>
      </c>
      <c r="P742" s="4" t="n">
        <f aca="false">IF(AND(A742&lt;&gt;"",J742&lt;&gt;"",M742&gt;0,N742&gt;0,O742=0),1,0)</f>
        <v>0</v>
      </c>
      <c r="Q742" s="7" t="n">
        <f aca="false">IF(P742=1,M742*N742,0)</f>
        <v>0</v>
      </c>
    </row>
    <row r="743" customFormat="false" ht="15" hidden="false" customHeight="false" outlineLevel="0" collapsed="false">
      <c r="A743" s="4" t="n">
        <v>10388</v>
      </c>
      <c r="B743" s="4" t="s">
        <v>177</v>
      </c>
      <c r="C743" s="4" t="s">
        <v>63</v>
      </c>
      <c r="D743" s="4" t="s">
        <v>44</v>
      </c>
      <c r="E743" s="4" t="s">
        <v>210</v>
      </c>
      <c r="F743" s="4" t="n">
        <v>0</v>
      </c>
      <c r="G743" s="4" t="s">
        <v>1704</v>
      </c>
      <c r="H743" s="4" t="s">
        <v>47</v>
      </c>
      <c r="I743" s="4" t="s">
        <v>1705</v>
      </c>
      <c r="J743" s="6" t="n">
        <f aca="false">IFERROR(DATEVALUE(B743),"")</f>
        <v>45378</v>
      </c>
      <c r="K743" s="4" t="str">
        <f aca="false">IF(A743="","",PROPER(TRIM(C743)))</f>
        <v>Midwest</v>
      </c>
      <c r="L743" s="4" t="str">
        <f aca="false">IF(A743="","",PROPER(TRIM(D743)))</f>
        <v>Accessories</v>
      </c>
      <c r="M743" s="4" t="n">
        <f aca="false">IFERROR(VALUE(F743),0)</f>
        <v>0</v>
      </c>
      <c r="N743" s="7" t="n">
        <f aca="false">IFERROR(VALUE(SUBSTITUTE(G743,"$","")),0)</f>
        <v>33.98</v>
      </c>
      <c r="O743" s="4" t="n">
        <f aca="false">IF(A743="",0,IF(COUNTIF($A$2:A743,A743)&gt;1,1,0))</f>
        <v>0</v>
      </c>
      <c r="P743" s="4" t="n">
        <f aca="false">IF(AND(A743&lt;&gt;"",J743&lt;&gt;"",M743&gt;0,N743&gt;0,O743=0),1,0)</f>
        <v>0</v>
      </c>
      <c r="Q743" s="7" t="n">
        <f aca="false">IF(P743=1,M743*N743,0)</f>
        <v>0</v>
      </c>
    </row>
    <row r="744" customFormat="false" ht="15" hidden="false" customHeight="false" outlineLevel="0" collapsed="false">
      <c r="A744" s="4" t="n">
        <v>10119</v>
      </c>
      <c r="B744" s="4" t="s">
        <v>1706</v>
      </c>
      <c r="C744" s="4" t="s">
        <v>140</v>
      </c>
      <c r="D744" s="4" t="s">
        <v>64</v>
      </c>
      <c r="E744" s="4" t="s">
        <v>111</v>
      </c>
      <c r="F744" s="4" t="n">
        <v>1</v>
      </c>
      <c r="G744" s="4" t="s">
        <v>1707</v>
      </c>
      <c r="H744" s="4" t="s">
        <v>47</v>
      </c>
      <c r="I744" s="4" t="s">
        <v>452</v>
      </c>
      <c r="J744" s="6" t="n">
        <f aca="false">IFERROR(DATEVALUE(B744),"")</f>
        <v>45608</v>
      </c>
      <c r="K744" s="4" t="str">
        <f aca="false">IF(A744="","",PROPER(TRIM(C744)))</f>
        <v>South</v>
      </c>
      <c r="L744" s="4" t="str">
        <f aca="false">IF(A744="","",PROPER(TRIM(D744)))</f>
        <v>Footwear</v>
      </c>
      <c r="M744" s="4" t="n">
        <f aca="false">IFERROR(VALUE(F744),0)</f>
        <v>1</v>
      </c>
      <c r="N744" s="7" t="n">
        <f aca="false">IFERROR(VALUE(SUBSTITUTE(G744,"$","")),0)</f>
        <v>94.52</v>
      </c>
      <c r="O744" s="4" t="n">
        <f aca="false">IF(A744="",0,IF(COUNTIF($A$2:A744,A744)&gt;1,1,0))</f>
        <v>0</v>
      </c>
      <c r="P744" s="4" t="n">
        <f aca="false">IF(AND(A744&lt;&gt;"",J744&lt;&gt;"",M744&gt;0,N744&gt;0,O744=0),1,0)</f>
        <v>1</v>
      </c>
      <c r="Q744" s="7" t="n">
        <f aca="false">IF(P744=1,M744*N744,0)</f>
        <v>94.52</v>
      </c>
    </row>
    <row r="745" customFormat="false" ht="15" hidden="false" customHeight="false" outlineLevel="0" collapsed="false">
      <c r="A745" s="4" t="n">
        <v>10427</v>
      </c>
      <c r="B745" s="4" t="s">
        <v>1169</v>
      </c>
      <c r="C745" s="4" t="s">
        <v>140</v>
      </c>
      <c r="D745" s="4" t="s">
        <v>70</v>
      </c>
      <c r="E745" s="4" t="s">
        <v>448</v>
      </c>
      <c r="F745" s="4" t="n">
        <v>2</v>
      </c>
      <c r="G745" s="4" t="s">
        <v>1708</v>
      </c>
      <c r="H745" s="4" t="s">
        <v>47</v>
      </c>
      <c r="I745" s="4" t="s">
        <v>368</v>
      </c>
      <c r="J745" s="6" t="n">
        <f aca="false">IFERROR(DATEVALUE(B745),"")</f>
        <v>45748</v>
      </c>
      <c r="K745" s="4" t="str">
        <f aca="false">IF(A745="","",PROPER(TRIM(C745)))</f>
        <v>South</v>
      </c>
      <c r="L745" s="4" t="str">
        <f aca="false">IF(A745="","",PROPER(TRIM(D745)))</f>
        <v>Camping Gear</v>
      </c>
      <c r="M745" s="4" t="n">
        <f aca="false">IFERROR(VALUE(F745),0)</f>
        <v>2</v>
      </c>
      <c r="N745" s="7" t="n">
        <f aca="false">IFERROR(VALUE(SUBSTITUTE(G745,"$","")),0)</f>
        <v>216.09</v>
      </c>
      <c r="O745" s="4" t="n">
        <f aca="false">IF(A745="",0,IF(COUNTIF($A$2:A745,A745)&gt;1,1,0))</f>
        <v>0</v>
      </c>
      <c r="P745" s="4" t="n">
        <f aca="false">IF(AND(A745&lt;&gt;"",J745&lt;&gt;"",M745&gt;0,N745&gt;0,O745=0),1,0)</f>
        <v>1</v>
      </c>
      <c r="Q745" s="7" t="n">
        <f aca="false">IF(P745=1,M745*N745,0)</f>
        <v>432.18</v>
      </c>
    </row>
    <row r="746" customFormat="false" ht="15" hidden="false" customHeight="false" outlineLevel="0" collapsed="false">
      <c r="A746" s="4" t="n">
        <v>10570</v>
      </c>
      <c r="B746" s="4" t="s">
        <v>1709</v>
      </c>
      <c r="C746" s="4" t="s">
        <v>229</v>
      </c>
      <c r="D746" s="4" t="s">
        <v>101</v>
      </c>
      <c r="E746" s="4" t="s">
        <v>52</v>
      </c>
      <c r="F746" s="4" t="n">
        <v>3</v>
      </c>
      <c r="G746" s="4" t="s">
        <v>1004</v>
      </c>
      <c r="H746" s="4" t="s">
        <v>47</v>
      </c>
      <c r="I746" s="4" t="s">
        <v>1005</v>
      </c>
      <c r="J746" s="6" t="n">
        <f aca="false">IFERROR(DATEVALUE(B746),"")</f>
        <v>45816</v>
      </c>
      <c r="K746" s="4" t="str">
        <f aca="false">IF(A746="","",PROPER(TRIM(C746)))</f>
        <v>Midwest</v>
      </c>
      <c r="L746" s="4" t="str">
        <f aca="false">IF(A746="","",PROPER(TRIM(D746)))</f>
        <v>Accessories</v>
      </c>
      <c r="M746" s="4" t="n">
        <f aca="false">IFERROR(VALUE(F746),0)</f>
        <v>3</v>
      </c>
      <c r="N746" s="7" t="n">
        <f aca="false">IFERROR(VALUE(SUBSTITUTE(G746,"$","")),0)</f>
        <v>84.49</v>
      </c>
      <c r="O746" s="4" t="n">
        <f aca="false">IF(A746="",0,IF(COUNTIF($A$2:A746,A746)&gt;1,1,0))</f>
        <v>1</v>
      </c>
      <c r="P746" s="4" t="n">
        <f aca="false">IF(AND(A746&lt;&gt;"",J746&lt;&gt;"",M746&gt;0,N746&gt;0,O746=0),1,0)</f>
        <v>0</v>
      </c>
      <c r="Q746" s="7" t="n">
        <f aca="false">IF(P746=1,M746*N746,0)</f>
        <v>0</v>
      </c>
    </row>
    <row r="747" customFormat="false" ht="15" hidden="false" customHeight="false" outlineLevel="0" collapsed="false">
      <c r="A747" s="4" t="n">
        <v>10024</v>
      </c>
      <c r="B747" s="4" t="s">
        <v>1710</v>
      </c>
      <c r="C747" s="4" t="s">
        <v>435</v>
      </c>
      <c r="D747" s="4" t="s">
        <v>179</v>
      </c>
      <c r="E747" s="4" t="s">
        <v>59</v>
      </c>
      <c r="F747" s="4" t="n">
        <v>3</v>
      </c>
      <c r="G747" s="4" t="s">
        <v>1711</v>
      </c>
      <c r="H747" s="4" t="s">
        <v>47</v>
      </c>
      <c r="I747" s="4" t="s">
        <v>910</v>
      </c>
      <c r="J747" s="6" t="n">
        <f aca="false">IFERROR(DATEVALUE(B747),"")</f>
        <v>45657</v>
      </c>
      <c r="K747" s="4" t="str">
        <f aca="false">IF(A747="","",PROPER(TRIM(C747)))</f>
        <v>Midwest</v>
      </c>
      <c r="L747" s="4" t="str">
        <f aca="false">IF(A747="","",PROPER(TRIM(D747)))</f>
        <v>Climbing Gear</v>
      </c>
      <c r="M747" s="4" t="n">
        <f aca="false">IFERROR(VALUE(F747),0)</f>
        <v>3</v>
      </c>
      <c r="N747" s="7" t="n">
        <f aca="false">IFERROR(VALUE(SUBSTITUTE(G747,"$","")),0)</f>
        <v>40.2</v>
      </c>
      <c r="O747" s="4" t="n">
        <f aca="false">IF(A747="",0,IF(COUNTIF($A$2:A747,A747)&gt;1,1,0))</f>
        <v>0</v>
      </c>
      <c r="P747" s="4" t="n">
        <f aca="false">IF(AND(A747&lt;&gt;"",J747&lt;&gt;"",M747&gt;0,N747&gt;0,O747=0),1,0)</f>
        <v>1</v>
      </c>
      <c r="Q747" s="7" t="n">
        <f aca="false">IF(P747=1,M747*N747,0)</f>
        <v>120.6</v>
      </c>
    </row>
    <row r="748" customFormat="false" ht="15" hidden="false" customHeight="false" outlineLevel="0" collapsed="false">
      <c r="A748" s="4" t="n">
        <v>10607</v>
      </c>
      <c r="B748" s="4" t="s">
        <v>1186</v>
      </c>
      <c r="C748" s="4" t="s">
        <v>57</v>
      </c>
      <c r="D748" s="4" t="s">
        <v>76</v>
      </c>
      <c r="E748" s="4" t="s">
        <v>65</v>
      </c>
      <c r="F748" s="4" t="n">
        <v>3</v>
      </c>
      <c r="G748" s="4" t="s">
        <v>1712</v>
      </c>
      <c r="H748" s="4" t="s">
        <v>47</v>
      </c>
      <c r="I748" s="4" t="s">
        <v>1015</v>
      </c>
      <c r="J748" s="6" t="n">
        <f aca="false">IFERROR(DATEVALUE(B748),"")</f>
        <v>45440</v>
      </c>
      <c r="K748" s="4" t="str">
        <f aca="false">IF(A748="","",PROPER(TRIM(C748)))</f>
        <v>West</v>
      </c>
      <c r="L748" s="4" t="str">
        <f aca="false">IF(A748="","",PROPER(TRIM(D748)))</f>
        <v>Footwear</v>
      </c>
      <c r="M748" s="4" t="n">
        <f aca="false">IFERROR(VALUE(F748),0)</f>
        <v>3</v>
      </c>
      <c r="N748" s="7" t="n">
        <f aca="false">IFERROR(VALUE(SUBSTITUTE(G748,"$","")),0)</f>
        <v>61.39</v>
      </c>
      <c r="O748" s="4" t="n">
        <f aca="false">IF(A748="",0,IF(COUNTIF($A$2:A748,A748)&gt;1,1,0))</f>
        <v>0</v>
      </c>
      <c r="P748" s="4" t="n">
        <f aca="false">IF(AND(A748&lt;&gt;"",J748&lt;&gt;"",M748&gt;0,N748&gt;0,O748=0),1,0)</f>
        <v>1</v>
      </c>
      <c r="Q748" s="7" t="n">
        <f aca="false">IF(P748=1,M748*N748,0)</f>
        <v>184.17</v>
      </c>
    </row>
    <row r="749" customFormat="false" ht="15" hidden="false" customHeight="false" outlineLevel="0" collapsed="false">
      <c r="A749" s="4" t="n">
        <v>10424</v>
      </c>
      <c r="B749" s="4" t="s">
        <v>1713</v>
      </c>
      <c r="C749" s="4" t="s">
        <v>224</v>
      </c>
      <c r="D749" s="4" t="s">
        <v>101</v>
      </c>
      <c r="E749" s="4" t="s">
        <v>45</v>
      </c>
      <c r="F749" s="4" t="n">
        <v>1</v>
      </c>
      <c r="G749" s="4" t="s">
        <v>1714</v>
      </c>
      <c r="H749" s="4" t="s">
        <v>73</v>
      </c>
      <c r="I749" s="4" t="s">
        <v>1555</v>
      </c>
      <c r="J749" s="6" t="n">
        <f aca="false">IFERROR(DATEVALUE(B749),"")</f>
        <v>45788</v>
      </c>
      <c r="K749" s="4" t="str">
        <f aca="false">IF(A749="","",PROPER(TRIM(C749)))</f>
        <v>East</v>
      </c>
      <c r="L749" s="4" t="str">
        <f aca="false">IF(A749="","",PROPER(TRIM(D749)))</f>
        <v>Accessories</v>
      </c>
      <c r="M749" s="4" t="n">
        <f aca="false">IFERROR(VALUE(F749),0)</f>
        <v>1</v>
      </c>
      <c r="N749" s="7" t="n">
        <f aca="false">IFERROR(VALUE(SUBSTITUTE(G749,"$","")),0)</f>
        <v>52.85</v>
      </c>
      <c r="O749" s="4" t="n">
        <f aca="false">IF(A749="",0,IF(COUNTIF($A$2:A749,A749)&gt;1,1,0))</f>
        <v>0</v>
      </c>
      <c r="P749" s="4" t="n">
        <f aca="false">IF(AND(A749&lt;&gt;"",J749&lt;&gt;"",M749&gt;0,N749&gt;0,O749=0),1,0)</f>
        <v>1</v>
      </c>
      <c r="Q749" s="7" t="n">
        <f aca="false">IF(P749=1,M749*N749,0)</f>
        <v>52.85</v>
      </c>
    </row>
    <row r="750" customFormat="false" ht="15" hidden="false" customHeight="false" outlineLevel="0" collapsed="false">
      <c r="A750" s="4" t="n">
        <v>10144</v>
      </c>
      <c r="B750" s="4" t="s">
        <v>1715</v>
      </c>
      <c r="C750" s="4" t="s">
        <v>50</v>
      </c>
      <c r="D750" s="4" t="s">
        <v>387</v>
      </c>
      <c r="E750" s="4" t="s">
        <v>448</v>
      </c>
      <c r="F750" s="4" t="n">
        <v>2</v>
      </c>
      <c r="G750" s="4" t="s">
        <v>1716</v>
      </c>
      <c r="H750" s="4" t="s">
        <v>47</v>
      </c>
      <c r="I750" s="4" t="s">
        <v>1341</v>
      </c>
      <c r="J750" s="6" t="n">
        <f aca="false">IFERROR(DATEVALUE(B750),"")</f>
        <v>45818</v>
      </c>
      <c r="K750" s="4" t="str">
        <f aca="false">IF(A750="","",PROPER(TRIM(C750)))</f>
        <v>Midwest</v>
      </c>
      <c r="L750" s="4" t="str">
        <f aca="false">IF(A750="","",PROPER(TRIM(D750)))</f>
        <v>Camping Gear</v>
      </c>
      <c r="M750" s="4" t="n">
        <f aca="false">IFERROR(VALUE(F750),0)</f>
        <v>2</v>
      </c>
      <c r="N750" s="7" t="n">
        <f aca="false">IFERROR(VALUE(SUBSTITUTE(G750,"$","")),0)</f>
        <v>176.71</v>
      </c>
      <c r="O750" s="4" t="n">
        <f aca="false">IF(A750="",0,IF(COUNTIF($A$2:A750,A750)&gt;1,1,0))</f>
        <v>0</v>
      </c>
      <c r="P750" s="4" t="n">
        <f aca="false">IF(AND(A750&lt;&gt;"",J750&lt;&gt;"",M750&gt;0,N750&gt;0,O750=0),1,0)</f>
        <v>1</v>
      </c>
      <c r="Q750" s="7" t="n">
        <f aca="false">IF(P750=1,M750*N750,0)</f>
        <v>353.42</v>
      </c>
    </row>
    <row r="751" customFormat="false" ht="15" hidden="false" customHeight="false" outlineLevel="0" collapsed="false">
      <c r="A751" s="4" t="n">
        <v>10442</v>
      </c>
      <c r="B751" s="4" t="s">
        <v>1522</v>
      </c>
      <c r="C751" s="4" t="s">
        <v>315</v>
      </c>
      <c r="D751" s="4" t="s">
        <v>250</v>
      </c>
      <c r="E751" s="4" t="s">
        <v>71</v>
      </c>
      <c r="F751" s="4" t="n">
        <v>1</v>
      </c>
      <c r="G751" s="4" t="s">
        <v>1717</v>
      </c>
      <c r="H751" s="4" t="s">
        <v>73</v>
      </c>
      <c r="I751" s="4" t="s">
        <v>176</v>
      </c>
      <c r="J751" s="6" t="n">
        <f aca="false">IFERROR(DATEVALUE(B751),"")</f>
        <v>45511</v>
      </c>
      <c r="K751" s="4" t="str">
        <f aca="false">IF(A751="","",PROPER(TRIM(C751)))</f>
        <v>South</v>
      </c>
      <c r="L751" s="4" t="str">
        <f aca="false">IF(A751="","",PROPER(TRIM(D751)))</f>
        <v>Camping Gear</v>
      </c>
      <c r="M751" s="4" t="n">
        <f aca="false">IFERROR(VALUE(F751),0)</f>
        <v>1</v>
      </c>
      <c r="N751" s="7" t="n">
        <f aca="false">IFERROR(VALUE(SUBSTITUTE(G751,"$","")),0)</f>
        <v>70.5</v>
      </c>
      <c r="O751" s="4" t="n">
        <f aca="false">IF(A751="",0,IF(COUNTIF($A$2:A751,A751)&gt;1,1,0))</f>
        <v>0</v>
      </c>
      <c r="P751" s="4" t="n">
        <f aca="false">IF(AND(A751&lt;&gt;"",J751&lt;&gt;"",M751&gt;0,N751&gt;0,O751=0),1,0)</f>
        <v>1</v>
      </c>
      <c r="Q751" s="7" t="n">
        <f aca="false">IF(P751=1,M751*N751,0)</f>
        <v>70.5</v>
      </c>
    </row>
    <row r="752" customFormat="false" ht="15" hidden="false" customHeight="false" outlineLevel="0" collapsed="false">
      <c r="A752" s="4" t="n">
        <v>10426</v>
      </c>
      <c r="B752" s="4" t="s">
        <v>242</v>
      </c>
      <c r="C752" s="4" t="s">
        <v>50</v>
      </c>
      <c r="D752" s="4" t="s">
        <v>156</v>
      </c>
      <c r="E752" s="4" t="s">
        <v>188</v>
      </c>
      <c r="F752" s="4" t="n">
        <v>2</v>
      </c>
      <c r="G752" s="4" t="s">
        <v>1718</v>
      </c>
      <c r="H752" s="4" t="s">
        <v>47</v>
      </c>
      <c r="I752" s="4" t="s">
        <v>832</v>
      </c>
      <c r="J752" s="6" t="n">
        <f aca="false">IFERROR(DATEVALUE(B752),"")</f>
        <v>45770</v>
      </c>
      <c r="K752" s="4" t="str">
        <f aca="false">IF(A752="","",PROPER(TRIM(C752)))</f>
        <v>Midwest</v>
      </c>
      <c r="L752" s="4" t="str">
        <f aca="false">IF(A752="","",PROPER(TRIM(D752)))</f>
        <v>Climbing Gear</v>
      </c>
      <c r="M752" s="4" t="n">
        <f aca="false">IFERROR(VALUE(F752),0)</f>
        <v>2</v>
      </c>
      <c r="N752" s="7" t="n">
        <f aca="false">IFERROR(VALUE(SUBSTITUTE(G752,"$","")),0)</f>
        <v>20.24</v>
      </c>
      <c r="O752" s="4" t="n">
        <f aca="false">IF(A752="",0,IF(COUNTIF($A$2:A752,A752)&gt;1,1,0))</f>
        <v>0</v>
      </c>
      <c r="P752" s="4" t="n">
        <f aca="false">IF(AND(A752&lt;&gt;"",J752&lt;&gt;"",M752&gt;0,N752&gt;0,O752=0),1,0)</f>
        <v>1</v>
      </c>
      <c r="Q752" s="7" t="n">
        <f aca="false">IF(P752=1,M752*N752,0)</f>
        <v>40.48</v>
      </c>
    </row>
    <row r="753" customFormat="false" ht="15" hidden="false" customHeight="false" outlineLevel="0" collapsed="false">
      <c r="A753" s="4" t="n">
        <v>10602</v>
      </c>
      <c r="B753" s="4" t="s">
        <v>1411</v>
      </c>
      <c r="C753" s="4" t="s">
        <v>149</v>
      </c>
      <c r="D753" s="4" t="s">
        <v>115</v>
      </c>
      <c r="E753" s="4" t="s">
        <v>116</v>
      </c>
      <c r="F753" s="4" t="n">
        <v>2</v>
      </c>
      <c r="G753" s="4" t="s">
        <v>1719</v>
      </c>
      <c r="H753" s="4" t="s">
        <v>47</v>
      </c>
      <c r="I753" s="4" t="s">
        <v>1720</v>
      </c>
      <c r="J753" s="6" t="n">
        <f aca="false">IFERROR(DATEVALUE(B753),"")</f>
        <v>45825</v>
      </c>
      <c r="K753" s="4" t="str">
        <f aca="false">IF(A753="","",PROPER(TRIM(C753)))</f>
        <v>East</v>
      </c>
      <c r="L753" s="4" t="str">
        <f aca="false">IF(A753="","",PROPER(TRIM(D753)))</f>
        <v>Apparel</v>
      </c>
      <c r="M753" s="4" t="n">
        <f aca="false">IFERROR(VALUE(F753),0)</f>
        <v>2</v>
      </c>
      <c r="N753" s="7" t="n">
        <f aca="false">IFERROR(VALUE(SUBSTITUTE(G753,"$","")),0)</f>
        <v>63.08</v>
      </c>
      <c r="O753" s="4" t="n">
        <f aca="false">IF(A753="",0,IF(COUNTIF($A$2:A753,A753)&gt;1,1,0))</f>
        <v>0</v>
      </c>
      <c r="P753" s="4" t="n">
        <f aca="false">IF(AND(A753&lt;&gt;"",J753&lt;&gt;"",M753&gt;0,N753&gt;0,O753=0),1,0)</f>
        <v>1</v>
      </c>
      <c r="Q753" s="7" t="n">
        <f aca="false">IF(P753=1,M753*N753,0)</f>
        <v>126.16</v>
      </c>
    </row>
    <row r="754" customFormat="false" ht="15" hidden="false" customHeight="false" outlineLevel="0" collapsed="false">
      <c r="A754" s="4" t="n">
        <v>10198</v>
      </c>
      <c r="B754" s="4" t="s">
        <v>1721</v>
      </c>
      <c r="C754" s="4" t="s">
        <v>140</v>
      </c>
      <c r="D754" s="4" t="s">
        <v>387</v>
      </c>
      <c r="E754" s="4" t="s">
        <v>71</v>
      </c>
      <c r="F754" s="4" t="n">
        <v>4</v>
      </c>
      <c r="G754" s="4" t="s">
        <v>1722</v>
      </c>
      <c r="H754" s="4" t="s">
        <v>54</v>
      </c>
      <c r="I754" s="4" t="s">
        <v>502</v>
      </c>
      <c r="J754" s="6" t="n">
        <f aca="false">IFERROR(DATEVALUE(B754),"")</f>
        <v>45657</v>
      </c>
      <c r="K754" s="4" t="str">
        <f aca="false">IF(A754="","",PROPER(TRIM(C754)))</f>
        <v>South</v>
      </c>
      <c r="L754" s="4" t="str">
        <f aca="false">IF(A754="","",PROPER(TRIM(D754)))</f>
        <v>Camping Gear</v>
      </c>
      <c r="M754" s="4" t="n">
        <f aca="false">IFERROR(VALUE(F754),0)</f>
        <v>4</v>
      </c>
      <c r="N754" s="7" t="n">
        <f aca="false">IFERROR(VALUE(SUBSTITUTE(G754,"$","")),0)</f>
        <v>74.53</v>
      </c>
      <c r="O754" s="4" t="n">
        <f aca="false">IF(A754="",0,IF(COUNTIF($A$2:A754,A754)&gt;1,1,0))</f>
        <v>0</v>
      </c>
      <c r="P754" s="4" t="n">
        <f aca="false">IF(AND(A754&lt;&gt;"",J754&lt;&gt;"",M754&gt;0,N754&gt;0,O754=0),1,0)</f>
        <v>1</v>
      </c>
      <c r="Q754" s="7" t="n">
        <f aca="false">IF(P754=1,M754*N754,0)</f>
        <v>298.12</v>
      </c>
    </row>
    <row r="755" customFormat="false" ht="15" hidden="false" customHeight="false" outlineLevel="0" collapsed="false">
      <c r="A755" s="4" t="n">
        <v>10366</v>
      </c>
      <c r="B755" s="4" t="s">
        <v>1723</v>
      </c>
      <c r="C755" s="4" t="s">
        <v>183</v>
      </c>
      <c r="D755" s="4" t="s">
        <v>51</v>
      </c>
      <c r="E755" s="4" t="s">
        <v>160</v>
      </c>
      <c r="F755" s="4" t="n">
        <v>1</v>
      </c>
      <c r="G755" s="4" t="s">
        <v>1724</v>
      </c>
      <c r="H755" s="4" t="s">
        <v>47</v>
      </c>
      <c r="I755" s="4" t="s">
        <v>1517</v>
      </c>
      <c r="J755" s="6" t="n">
        <f aca="false">IFERROR(DATEVALUE(B755),"")</f>
        <v>45307</v>
      </c>
      <c r="K755" s="4" t="str">
        <f aca="false">IF(A755="","",PROPER(TRIM(C755)))</f>
        <v>West</v>
      </c>
      <c r="L755" s="4" t="str">
        <f aca="false">IF(A755="","",PROPER(TRIM(D755)))</f>
        <v>Accessories</v>
      </c>
      <c r="M755" s="4" t="n">
        <f aca="false">IFERROR(VALUE(F755),0)</f>
        <v>1</v>
      </c>
      <c r="N755" s="7" t="n">
        <f aca="false">IFERROR(VALUE(SUBSTITUTE(G755,"$","")),0)</f>
        <v>25.07</v>
      </c>
      <c r="O755" s="4" t="n">
        <f aca="false">IF(A755="",0,IF(COUNTIF($A$2:A755,A755)&gt;1,1,0))</f>
        <v>0</v>
      </c>
      <c r="P755" s="4" t="n">
        <f aca="false">IF(AND(A755&lt;&gt;"",J755&lt;&gt;"",M755&gt;0,N755&gt;0,O755=0),1,0)</f>
        <v>1</v>
      </c>
      <c r="Q755" s="7" t="n">
        <f aca="false">IF(P755=1,M755*N755,0)</f>
        <v>25.07</v>
      </c>
    </row>
    <row r="756" customFormat="false" ht="15" hidden="false" customHeight="false" outlineLevel="0" collapsed="false">
      <c r="A756" s="4" t="n">
        <v>10422</v>
      </c>
      <c r="B756" s="4" t="s">
        <v>956</v>
      </c>
      <c r="C756" s="4" t="s">
        <v>93</v>
      </c>
      <c r="D756" s="4" t="s">
        <v>70</v>
      </c>
      <c r="E756" s="4" t="s">
        <v>203</v>
      </c>
      <c r="F756" s="4" t="n">
        <v>0</v>
      </c>
      <c r="G756" s="4" t="s">
        <v>1725</v>
      </c>
      <c r="H756" s="4" t="s">
        <v>73</v>
      </c>
      <c r="I756" s="4" t="s">
        <v>1421</v>
      </c>
      <c r="J756" s="6" t="n">
        <f aca="false">IFERROR(DATEVALUE(B756),"")</f>
        <v>45696</v>
      </c>
      <c r="K756" s="4" t="str">
        <f aca="false">IF(A756="","",PROPER(TRIM(C756)))</f>
        <v>West</v>
      </c>
      <c r="L756" s="4" t="str">
        <f aca="false">IF(A756="","",PROPER(TRIM(D756)))</f>
        <v>Camping Gear</v>
      </c>
      <c r="M756" s="4" t="n">
        <f aca="false">IFERROR(VALUE(F756),0)</f>
        <v>0</v>
      </c>
      <c r="N756" s="7" t="n">
        <f aca="false">IFERROR(VALUE(SUBSTITUTE(G756,"$","")),0)</f>
        <v>212.7</v>
      </c>
      <c r="O756" s="4" t="n">
        <f aca="false">IF(A756="",0,IF(COUNTIF($A$2:A756,A756)&gt;1,1,0))</f>
        <v>0</v>
      </c>
      <c r="P756" s="4" t="n">
        <f aca="false">IF(AND(A756&lt;&gt;"",J756&lt;&gt;"",M756&gt;0,N756&gt;0,O756=0),1,0)</f>
        <v>0</v>
      </c>
      <c r="Q756" s="7" t="n">
        <f aca="false">IF(P756=1,M756*N756,0)</f>
        <v>0</v>
      </c>
    </row>
    <row r="757" customFormat="false" ht="15" hidden="false" customHeight="false" outlineLevel="0" collapsed="false">
      <c r="A757" s="4" t="n">
        <v>10124</v>
      </c>
      <c r="B757" s="4" t="s">
        <v>114</v>
      </c>
      <c r="C757" s="4" t="s">
        <v>63</v>
      </c>
      <c r="D757" s="4" t="s">
        <v>44</v>
      </c>
      <c r="E757" s="4" t="s">
        <v>160</v>
      </c>
      <c r="F757" s="4" t="n">
        <v>-1</v>
      </c>
      <c r="G757" s="4" t="s">
        <v>1726</v>
      </c>
      <c r="H757" s="4" t="s">
        <v>73</v>
      </c>
      <c r="I757" s="4" t="s">
        <v>1026</v>
      </c>
      <c r="J757" s="6" t="n">
        <f aca="false">IFERROR(DATEVALUE(B757),"")</f>
        <v>45510</v>
      </c>
      <c r="K757" s="4" t="str">
        <f aca="false">IF(A757="","",PROPER(TRIM(C757)))</f>
        <v>Midwest</v>
      </c>
      <c r="L757" s="4" t="str">
        <f aca="false">IF(A757="","",PROPER(TRIM(D757)))</f>
        <v>Accessories</v>
      </c>
      <c r="M757" s="4" t="n">
        <f aca="false">IFERROR(VALUE(F757),0)</f>
        <v>-1</v>
      </c>
      <c r="N757" s="7" t="n">
        <f aca="false">IFERROR(VALUE(SUBSTITUTE(G757,"$","")),0)</f>
        <v>26.16</v>
      </c>
      <c r="O757" s="4" t="n">
        <f aca="false">IF(A757="",0,IF(COUNTIF($A$2:A757,A757)&gt;1,1,0))</f>
        <v>0</v>
      </c>
      <c r="P757" s="4" t="n">
        <f aca="false">IF(AND(A757&lt;&gt;"",J757&lt;&gt;"",M757&gt;0,N757&gt;0,O757=0),1,0)</f>
        <v>0</v>
      </c>
      <c r="Q757" s="7" t="n">
        <f aca="false">IF(P757=1,M757*N757,0)</f>
        <v>0</v>
      </c>
    </row>
    <row r="758" customFormat="false" ht="15" hidden="false" customHeight="false" outlineLevel="0" collapsed="false">
      <c r="A758" s="4" t="n">
        <v>10257</v>
      </c>
      <c r="B758" s="4" t="s">
        <v>935</v>
      </c>
      <c r="C758" s="4" t="s">
        <v>149</v>
      </c>
      <c r="D758" s="4" t="s">
        <v>387</v>
      </c>
      <c r="E758" s="4" t="s">
        <v>448</v>
      </c>
      <c r="F758" s="4" t="n">
        <v>3</v>
      </c>
      <c r="G758" s="4" t="s">
        <v>1727</v>
      </c>
      <c r="H758" s="4" t="s">
        <v>73</v>
      </c>
      <c r="I758" s="4" t="s">
        <v>870</v>
      </c>
      <c r="J758" s="6" t="n">
        <f aca="false">IFERROR(DATEVALUE(B758),"")</f>
        <v>45355</v>
      </c>
      <c r="K758" s="4" t="str">
        <f aca="false">IF(A758="","",PROPER(TRIM(C758)))</f>
        <v>East</v>
      </c>
      <c r="L758" s="4" t="str">
        <f aca="false">IF(A758="","",PROPER(TRIM(D758)))</f>
        <v>Camping Gear</v>
      </c>
      <c r="M758" s="4" t="n">
        <f aca="false">IFERROR(VALUE(F758),0)</f>
        <v>3</v>
      </c>
      <c r="N758" s="7" t="n">
        <f aca="false">IFERROR(VALUE(SUBSTITUTE(G758,"$","")),0)</f>
        <v>180.53</v>
      </c>
      <c r="O758" s="4" t="n">
        <f aca="false">IF(A758="",0,IF(COUNTIF($A$2:A758,A758)&gt;1,1,0))</f>
        <v>0</v>
      </c>
      <c r="P758" s="4" t="n">
        <f aca="false">IF(AND(A758&lt;&gt;"",J758&lt;&gt;"",M758&gt;0,N758&gt;0,O758=0),1,0)</f>
        <v>1</v>
      </c>
      <c r="Q758" s="7" t="n">
        <f aca="false">IF(P758=1,M758*N758,0)</f>
        <v>541.59</v>
      </c>
    </row>
    <row r="759" customFormat="false" ht="15" hidden="false" customHeight="false" outlineLevel="0" collapsed="false">
      <c r="A759" s="4" t="n">
        <v>10462</v>
      </c>
      <c r="B759" s="4" t="s">
        <v>1728</v>
      </c>
      <c r="C759" s="4" t="s">
        <v>149</v>
      </c>
      <c r="D759" s="4" t="s">
        <v>81</v>
      </c>
      <c r="E759" s="4" t="s">
        <v>151</v>
      </c>
      <c r="F759" s="4" t="n">
        <v>1</v>
      </c>
      <c r="G759" s="4"/>
      <c r="H759" s="4" t="s">
        <v>73</v>
      </c>
      <c r="I759" s="4" t="s">
        <v>1729</v>
      </c>
      <c r="J759" s="6" t="n">
        <f aca="false">IFERROR(DATEVALUE(B759),"")</f>
        <v>45699</v>
      </c>
      <c r="K759" s="4" t="str">
        <f aca="false">IF(A759="","",PROPER(TRIM(C759)))</f>
        <v>East</v>
      </c>
      <c r="L759" s="4" t="str">
        <f aca="false">IF(A759="","",PROPER(TRIM(D759)))</f>
        <v>Footwear</v>
      </c>
      <c r="M759" s="4" t="n">
        <f aca="false">IFERROR(VALUE(F759),0)</f>
        <v>1</v>
      </c>
      <c r="N759" s="7" t="n">
        <f aca="false">IFERROR(VALUE(SUBSTITUTE(G759,"$","")),0)</f>
        <v>0</v>
      </c>
      <c r="O759" s="4" t="n">
        <f aca="false">IF(A759="",0,IF(COUNTIF($A$2:A759,A759)&gt;1,1,0))</f>
        <v>0</v>
      </c>
      <c r="P759" s="4" t="n">
        <f aca="false">IF(AND(A759&lt;&gt;"",J759&lt;&gt;"",M759&gt;0,N759&gt;0,O759=0),1,0)</f>
        <v>0</v>
      </c>
      <c r="Q759" s="7" t="n">
        <f aca="false">IF(P759=1,M759*N759,0)</f>
        <v>0</v>
      </c>
    </row>
    <row r="760" customFormat="false" ht="15" hidden="false" customHeight="false" outlineLevel="0" collapsed="false">
      <c r="A760" s="4" t="n">
        <v>10454</v>
      </c>
      <c r="B760" s="4" t="s">
        <v>1730</v>
      </c>
      <c r="C760" s="4" t="s">
        <v>43</v>
      </c>
      <c r="D760" s="4" t="s">
        <v>387</v>
      </c>
      <c r="E760" s="4" t="s">
        <v>251</v>
      </c>
      <c r="F760" s="4" t="n">
        <v>2</v>
      </c>
      <c r="G760" s="4" t="s">
        <v>850</v>
      </c>
      <c r="H760" s="4" t="s">
        <v>47</v>
      </c>
      <c r="I760" s="4" t="s">
        <v>330</v>
      </c>
      <c r="J760" s="6" t="n">
        <f aca="false">IFERROR(DATEVALUE(B760),"")</f>
        <v>45506</v>
      </c>
      <c r="K760" s="4" t="str">
        <f aca="false">IF(A760="","",PROPER(TRIM(C760)))</f>
        <v>South</v>
      </c>
      <c r="L760" s="4" t="str">
        <f aca="false">IF(A760="","",PROPER(TRIM(D760)))</f>
        <v>Camping Gear</v>
      </c>
      <c r="M760" s="4" t="n">
        <f aca="false">IFERROR(VALUE(F760),0)</f>
        <v>2</v>
      </c>
      <c r="N760" s="7" t="n">
        <f aca="false">IFERROR(VALUE(SUBSTITUTE(G760,"$","")),0)</f>
        <v>76.16</v>
      </c>
      <c r="O760" s="4" t="n">
        <f aca="false">IF(A760="",0,IF(COUNTIF($A$2:A760,A760)&gt;1,1,0))</f>
        <v>0</v>
      </c>
      <c r="P760" s="4" t="n">
        <f aca="false">IF(AND(A760&lt;&gt;"",J760&lt;&gt;"",M760&gt;0,N760&gt;0,O760=0),1,0)</f>
        <v>1</v>
      </c>
      <c r="Q760" s="7" t="n">
        <f aca="false">IF(P760=1,M760*N760,0)</f>
        <v>152.32</v>
      </c>
    </row>
    <row r="761" customFormat="false" ht="15" hidden="false" customHeight="false" outlineLevel="0" collapsed="false">
      <c r="A761" s="4" t="n">
        <v>10213</v>
      </c>
      <c r="B761" s="4" t="s">
        <v>1731</v>
      </c>
      <c r="C761" s="4" t="s">
        <v>183</v>
      </c>
      <c r="D761" s="4" t="s">
        <v>81</v>
      </c>
      <c r="E761" s="4" t="s">
        <v>65</v>
      </c>
      <c r="F761" s="4" t="n">
        <v>3</v>
      </c>
      <c r="G761" s="4" t="s">
        <v>1732</v>
      </c>
      <c r="H761" s="4" t="s">
        <v>73</v>
      </c>
      <c r="I761" s="4" t="s">
        <v>1092</v>
      </c>
      <c r="J761" s="6" t="n">
        <f aca="false">IFERROR(DATEVALUE(B761),"")</f>
        <v>45521</v>
      </c>
      <c r="K761" s="4" t="str">
        <f aca="false">IF(A761="","",PROPER(TRIM(C761)))</f>
        <v>West</v>
      </c>
      <c r="L761" s="4" t="str">
        <f aca="false">IF(A761="","",PROPER(TRIM(D761)))</f>
        <v>Footwear</v>
      </c>
      <c r="M761" s="4" t="n">
        <f aca="false">IFERROR(VALUE(F761),0)</f>
        <v>3</v>
      </c>
      <c r="N761" s="7" t="n">
        <f aca="false">IFERROR(VALUE(SUBSTITUTE(G761,"$","")),0)</f>
        <v>62.83</v>
      </c>
      <c r="O761" s="4" t="n">
        <f aca="false">IF(A761="",0,IF(COUNTIF($A$2:A761,A761)&gt;1,1,0))</f>
        <v>0</v>
      </c>
      <c r="P761" s="4" t="n">
        <f aca="false">IF(AND(A761&lt;&gt;"",J761&lt;&gt;"",M761&gt;0,N761&gt;0,O761=0),1,0)</f>
        <v>1</v>
      </c>
      <c r="Q761" s="7" t="n">
        <f aca="false">IF(P761=1,M761*N761,0)</f>
        <v>188.49</v>
      </c>
    </row>
    <row r="762" customFormat="false" ht="15" hidden="false" customHeight="false" outlineLevel="0" collapsed="false">
      <c r="A762" s="4" t="n">
        <v>10660</v>
      </c>
      <c r="B762" s="4" t="s">
        <v>882</v>
      </c>
      <c r="C762" s="4" t="s">
        <v>57</v>
      </c>
      <c r="D762" s="4" t="s">
        <v>70</v>
      </c>
      <c r="E762" s="4" t="s">
        <v>251</v>
      </c>
      <c r="F762" s="4" t="n">
        <v>4</v>
      </c>
      <c r="G762" s="4" t="s">
        <v>1733</v>
      </c>
      <c r="H762" s="4" t="s">
        <v>73</v>
      </c>
      <c r="I762" s="4" t="s">
        <v>176</v>
      </c>
      <c r="J762" s="6" t="n">
        <f aca="false">IFERROR(DATEVALUE(B762),"")</f>
        <v>45507</v>
      </c>
      <c r="K762" s="4" t="str">
        <f aca="false">IF(A762="","",PROPER(TRIM(C762)))</f>
        <v>West</v>
      </c>
      <c r="L762" s="4" t="str">
        <f aca="false">IF(A762="","",PROPER(TRIM(D762)))</f>
        <v>Camping Gear</v>
      </c>
      <c r="M762" s="4" t="n">
        <f aca="false">IFERROR(VALUE(F762),0)</f>
        <v>4</v>
      </c>
      <c r="N762" s="7" t="n">
        <f aca="false">IFERROR(VALUE(SUBSTITUTE(G762,"$","")),0)</f>
        <v>89.39</v>
      </c>
      <c r="O762" s="4" t="n">
        <f aca="false">IF(A762="",0,IF(COUNTIF($A$2:A762,A762)&gt;1,1,0))</f>
        <v>0</v>
      </c>
      <c r="P762" s="4" t="n">
        <f aca="false">IF(AND(A762&lt;&gt;"",J762&lt;&gt;"",M762&gt;0,N762&gt;0,O762=0),1,0)</f>
        <v>1</v>
      </c>
      <c r="Q762" s="7" t="n">
        <f aca="false">IF(P762=1,M762*N762,0)</f>
        <v>357.56</v>
      </c>
    </row>
    <row r="763" customFormat="false" ht="15" hidden="false" customHeight="false" outlineLevel="0" collapsed="false">
      <c r="A763" s="4" t="n">
        <v>10207</v>
      </c>
      <c r="B763" s="4" t="s">
        <v>1734</v>
      </c>
      <c r="C763" s="4" t="s">
        <v>133</v>
      </c>
      <c r="D763" s="4" t="s">
        <v>115</v>
      </c>
      <c r="E763" s="4" t="s">
        <v>116</v>
      </c>
      <c r="F763" s="4" t="n">
        <v>1</v>
      </c>
      <c r="G763" s="4" t="s">
        <v>1735</v>
      </c>
      <c r="H763" s="4" t="s">
        <v>47</v>
      </c>
      <c r="I763" s="4" t="s">
        <v>1504</v>
      </c>
      <c r="J763" s="6" t="n">
        <f aca="false">IFERROR(DATEVALUE(B763),"")</f>
        <v>45676</v>
      </c>
      <c r="K763" s="4" t="str">
        <f aca="false">IF(A763="","",PROPER(TRIM(C763)))</f>
        <v>East</v>
      </c>
      <c r="L763" s="4" t="str">
        <f aca="false">IF(A763="","",PROPER(TRIM(D763)))</f>
        <v>Apparel</v>
      </c>
      <c r="M763" s="4" t="n">
        <f aca="false">IFERROR(VALUE(F763),0)</f>
        <v>1</v>
      </c>
      <c r="N763" s="7" t="n">
        <f aca="false">IFERROR(VALUE(SUBSTITUTE(G763,"$","")),0)</f>
        <v>70.16</v>
      </c>
      <c r="O763" s="4" t="n">
        <f aca="false">IF(A763="",0,IF(COUNTIF($A$2:A763,A763)&gt;1,1,0))</f>
        <v>0</v>
      </c>
      <c r="P763" s="4" t="n">
        <f aca="false">IF(AND(A763&lt;&gt;"",J763&lt;&gt;"",M763&gt;0,N763&gt;0,O763=0),1,0)</f>
        <v>1</v>
      </c>
      <c r="Q763" s="7" t="n">
        <f aca="false">IF(P763=1,M763*N763,0)</f>
        <v>70.16</v>
      </c>
    </row>
    <row r="764" customFormat="false" ht="15" hidden="false" customHeight="false" outlineLevel="0" collapsed="false">
      <c r="A764" s="4" t="n">
        <v>10085</v>
      </c>
      <c r="B764" s="4" t="s">
        <v>932</v>
      </c>
      <c r="C764" s="4" t="s">
        <v>69</v>
      </c>
      <c r="D764" s="4" t="s">
        <v>70</v>
      </c>
      <c r="E764" s="4" t="s">
        <v>448</v>
      </c>
      <c r="F764" s="4" t="n">
        <v>0</v>
      </c>
      <c r="G764" s="4" t="s">
        <v>1736</v>
      </c>
      <c r="H764" s="4" t="s">
        <v>73</v>
      </c>
      <c r="I764" s="4" t="s">
        <v>920</v>
      </c>
      <c r="J764" s="6" t="n">
        <f aca="false">IFERROR(DATEVALUE(B764),"")</f>
        <v>45628</v>
      </c>
      <c r="K764" s="4" t="str">
        <f aca="false">IF(A764="","",PROPER(TRIM(C764)))</f>
        <v>East</v>
      </c>
      <c r="L764" s="4" t="str">
        <f aca="false">IF(A764="","",PROPER(TRIM(D764)))</f>
        <v>Camping Gear</v>
      </c>
      <c r="M764" s="4" t="n">
        <f aca="false">IFERROR(VALUE(F764),0)</f>
        <v>0</v>
      </c>
      <c r="N764" s="7" t="n">
        <f aca="false">IFERROR(VALUE(SUBSTITUTE(G764,"$","")),0)</f>
        <v>212.8</v>
      </c>
      <c r="O764" s="4" t="n">
        <f aca="false">IF(A764="",0,IF(COUNTIF($A$2:A764,A764)&gt;1,1,0))</f>
        <v>0</v>
      </c>
      <c r="P764" s="4" t="n">
        <f aca="false">IF(AND(A764&lt;&gt;"",J764&lt;&gt;"",M764&gt;0,N764&gt;0,O764=0),1,0)</f>
        <v>0</v>
      </c>
      <c r="Q764" s="7" t="n">
        <f aca="false">IF(P764=1,M764*N764,0)</f>
        <v>0</v>
      </c>
    </row>
    <row r="765" customFormat="false" ht="15" hidden="false" customHeight="false" outlineLevel="0" collapsed="false">
      <c r="A765" s="4" t="n">
        <v>10134</v>
      </c>
      <c r="B765" s="4" t="s">
        <v>1737</v>
      </c>
      <c r="C765" s="4" t="s">
        <v>57</v>
      </c>
      <c r="D765" s="4" t="s">
        <v>141</v>
      </c>
      <c r="E765" s="4" t="s">
        <v>89</v>
      </c>
      <c r="F765" s="4" t="n">
        <v>4</v>
      </c>
      <c r="G765" s="4" t="s">
        <v>1738</v>
      </c>
      <c r="H765" s="4" t="s">
        <v>47</v>
      </c>
      <c r="I765" s="4" t="s">
        <v>1739</v>
      </c>
      <c r="J765" s="6" t="n">
        <f aca="false">IFERROR(DATEVALUE(B765),"")</f>
        <v>45493</v>
      </c>
      <c r="K765" s="4" t="str">
        <f aca="false">IF(A765="","",PROPER(TRIM(C765)))</f>
        <v>West</v>
      </c>
      <c r="L765" s="4" t="str">
        <f aca="false">IF(A765="","",PROPER(TRIM(D765)))</f>
        <v>Apparel</v>
      </c>
      <c r="M765" s="4" t="n">
        <f aca="false">IFERROR(VALUE(F765),0)</f>
        <v>4</v>
      </c>
      <c r="N765" s="7" t="n">
        <f aca="false">IFERROR(VALUE(SUBSTITUTE(G765,"$","")),0)</f>
        <v>64.66</v>
      </c>
      <c r="O765" s="4" t="n">
        <f aca="false">IF(A765="",0,IF(COUNTIF($A$2:A765,A765)&gt;1,1,0))</f>
        <v>0</v>
      </c>
      <c r="P765" s="4" t="n">
        <f aca="false">IF(AND(A765&lt;&gt;"",J765&lt;&gt;"",M765&gt;0,N765&gt;0,O765=0),1,0)</f>
        <v>1</v>
      </c>
      <c r="Q765" s="7" t="n">
        <f aca="false">IF(P765=1,M765*N765,0)</f>
        <v>258.64</v>
      </c>
    </row>
    <row r="766" customFormat="false" ht="15" hidden="false" customHeight="false" outlineLevel="0" collapsed="false">
      <c r="A766" s="4" t="n">
        <v>10498</v>
      </c>
      <c r="B766" s="4" t="s">
        <v>49</v>
      </c>
      <c r="C766" s="4" t="s">
        <v>93</v>
      </c>
      <c r="D766" s="4" t="s">
        <v>58</v>
      </c>
      <c r="E766" s="4" t="s">
        <v>94</v>
      </c>
      <c r="F766" s="4" t="n">
        <v>1</v>
      </c>
      <c r="G766" s="4" t="s">
        <v>390</v>
      </c>
      <c r="H766" s="4" t="s">
        <v>73</v>
      </c>
      <c r="I766" s="4" t="s">
        <v>147</v>
      </c>
      <c r="J766" s="6" t="n">
        <f aca="false">IFERROR(DATEVALUE(B766),"")</f>
        <v>45670</v>
      </c>
      <c r="K766" s="4" t="str">
        <f aca="false">IF(A766="","",PROPER(TRIM(C766)))</f>
        <v>West</v>
      </c>
      <c r="L766" s="4" t="str">
        <f aca="false">IF(A766="","",PROPER(TRIM(D766)))</f>
        <v>Climbing Gear</v>
      </c>
      <c r="M766" s="4" t="n">
        <f aca="false">IFERROR(VALUE(F766),0)</f>
        <v>1</v>
      </c>
      <c r="N766" s="7" t="n">
        <f aca="false">IFERROR(VALUE(SUBSTITUTE(G766,"$","")),0)</f>
        <v>153.23</v>
      </c>
      <c r="O766" s="4" t="n">
        <f aca="false">IF(A766="",0,IF(COUNTIF($A$2:A766,A766)&gt;1,1,0))</f>
        <v>1</v>
      </c>
      <c r="P766" s="4" t="n">
        <f aca="false">IF(AND(A766&lt;&gt;"",J766&lt;&gt;"",M766&gt;0,N766&gt;0,O766=0),1,0)</f>
        <v>0</v>
      </c>
      <c r="Q766" s="7" t="n">
        <f aca="false">IF(P766=1,M766*N766,0)</f>
        <v>0</v>
      </c>
    </row>
    <row r="767" customFormat="false" ht="15" hidden="false" customHeight="false" outlineLevel="0" collapsed="false">
      <c r="A767" s="4" t="n">
        <v>10382</v>
      </c>
      <c r="B767" s="4" t="s">
        <v>1740</v>
      </c>
      <c r="C767" s="4" t="s">
        <v>50</v>
      </c>
      <c r="D767" s="4" t="s">
        <v>150</v>
      </c>
      <c r="E767" s="4" t="s">
        <v>65</v>
      </c>
      <c r="F767" s="4" t="n">
        <v>2</v>
      </c>
      <c r="G767" s="4" t="s">
        <v>1741</v>
      </c>
      <c r="H767" s="4" t="s">
        <v>47</v>
      </c>
      <c r="I767" s="4" t="s">
        <v>1742</v>
      </c>
      <c r="J767" s="6" t="n">
        <f aca="false">IFERROR(DATEVALUE(B767),"")</f>
        <v>45620</v>
      </c>
      <c r="K767" s="4" t="str">
        <f aca="false">IF(A767="","",PROPER(TRIM(C767)))</f>
        <v>Midwest</v>
      </c>
      <c r="L767" s="4" t="str">
        <f aca="false">IF(A767="","",PROPER(TRIM(D767)))</f>
        <v>Footwear</v>
      </c>
      <c r="M767" s="4" t="n">
        <f aca="false">IFERROR(VALUE(F767),0)</f>
        <v>2</v>
      </c>
      <c r="N767" s="7" t="n">
        <f aca="false">IFERROR(VALUE(SUBSTITUTE(G767,"$","")),0)</f>
        <v>51.06</v>
      </c>
      <c r="O767" s="4" t="n">
        <f aca="false">IF(A767="",0,IF(COUNTIF($A$2:A767,A767)&gt;1,1,0))</f>
        <v>0</v>
      </c>
      <c r="P767" s="4" t="n">
        <f aca="false">IF(AND(A767&lt;&gt;"",J767&lt;&gt;"",M767&gt;0,N767&gt;0,O767=0),1,0)</f>
        <v>1</v>
      </c>
      <c r="Q767" s="7" t="n">
        <f aca="false">IF(P767=1,M767*N767,0)</f>
        <v>102.12</v>
      </c>
    </row>
    <row r="768" customFormat="false" ht="15" hidden="false" customHeight="false" outlineLevel="0" collapsed="false">
      <c r="A768" s="4" t="n">
        <v>10238</v>
      </c>
      <c r="B768" s="4" t="s">
        <v>1743</v>
      </c>
      <c r="C768" s="4" t="s">
        <v>321</v>
      </c>
      <c r="D768" s="4" t="s">
        <v>387</v>
      </c>
      <c r="E768" s="4" t="s">
        <v>203</v>
      </c>
      <c r="F768" s="4" t="n">
        <v>2</v>
      </c>
      <c r="G768" s="4" t="s">
        <v>1744</v>
      </c>
      <c r="H768" s="4" t="s">
        <v>54</v>
      </c>
      <c r="I768" s="4" t="s">
        <v>1745</v>
      </c>
      <c r="J768" s="6" t="n">
        <f aca="false">IFERROR(DATEVALUE(B768),"")</f>
        <v>45757</v>
      </c>
      <c r="K768" s="4" t="str">
        <f aca="false">IF(A768="","",PROPER(TRIM(C768)))</f>
        <v>West</v>
      </c>
      <c r="L768" s="4" t="str">
        <f aca="false">IF(A768="","",PROPER(TRIM(D768)))</f>
        <v>Camping Gear</v>
      </c>
      <c r="M768" s="4" t="n">
        <f aca="false">IFERROR(VALUE(F768),0)</f>
        <v>2</v>
      </c>
      <c r="N768" s="7" t="n">
        <f aca="false">IFERROR(VALUE(SUBSTITUTE(G768,"$","")),0)</f>
        <v>237.79</v>
      </c>
      <c r="O768" s="4" t="n">
        <f aca="false">IF(A768="",0,IF(COUNTIF($A$2:A768,A768)&gt;1,1,0))</f>
        <v>0</v>
      </c>
      <c r="P768" s="4" t="n">
        <f aca="false">IF(AND(A768&lt;&gt;"",J768&lt;&gt;"",M768&gt;0,N768&gt;0,O768=0),1,0)</f>
        <v>1</v>
      </c>
      <c r="Q768" s="7" t="n">
        <f aca="false">IF(P768=1,M768*N768,0)</f>
        <v>475.58</v>
      </c>
    </row>
    <row r="769" customFormat="false" ht="15" hidden="false" customHeight="false" outlineLevel="0" collapsed="false">
      <c r="A769" s="4" t="n">
        <v>10452</v>
      </c>
      <c r="B769" s="4" t="s">
        <v>1746</v>
      </c>
      <c r="C769" s="4" t="s">
        <v>50</v>
      </c>
      <c r="D769" s="4" t="s">
        <v>387</v>
      </c>
      <c r="E769" s="4" t="s">
        <v>448</v>
      </c>
      <c r="F769" s="4" t="n">
        <v>1</v>
      </c>
      <c r="G769" s="4" t="s">
        <v>1747</v>
      </c>
      <c r="H769" s="4" t="s">
        <v>73</v>
      </c>
      <c r="I769" s="4" t="s">
        <v>197</v>
      </c>
      <c r="J769" s="6" t="n">
        <f aca="false">IFERROR(DATEVALUE(B769),"")</f>
        <v>45394</v>
      </c>
      <c r="K769" s="4" t="str">
        <f aca="false">IF(A769="","",PROPER(TRIM(C769)))</f>
        <v>Midwest</v>
      </c>
      <c r="L769" s="4" t="str">
        <f aca="false">IF(A769="","",PROPER(TRIM(D769)))</f>
        <v>Camping Gear</v>
      </c>
      <c r="M769" s="4" t="n">
        <f aca="false">IFERROR(VALUE(F769),0)</f>
        <v>1</v>
      </c>
      <c r="N769" s="7" t="n">
        <f aca="false">IFERROR(VALUE(SUBSTITUTE(G769,"$","")),0)</f>
        <v>201.33</v>
      </c>
      <c r="O769" s="4" t="n">
        <f aca="false">IF(A769="",0,IF(COUNTIF($A$2:A769,A769)&gt;1,1,0))</f>
        <v>0</v>
      </c>
      <c r="P769" s="4" t="n">
        <f aca="false">IF(AND(A769&lt;&gt;"",J769&lt;&gt;"",M769&gt;0,N769&gt;0,O769=0),1,0)</f>
        <v>1</v>
      </c>
      <c r="Q769" s="7" t="n">
        <f aca="false">IF(P769=1,M769*N769,0)</f>
        <v>201.33</v>
      </c>
    </row>
    <row r="770" customFormat="false" ht="15" hidden="false" customHeight="false" outlineLevel="0" collapsed="false">
      <c r="A770" s="4" t="n">
        <v>10216</v>
      </c>
      <c r="B770" s="4" t="s">
        <v>209</v>
      </c>
      <c r="C770" s="4" t="s">
        <v>332</v>
      </c>
      <c r="D770" s="4" t="s">
        <v>81</v>
      </c>
      <c r="E770" s="4" t="s">
        <v>77</v>
      </c>
      <c r="F770" s="4" t="n">
        <v>2</v>
      </c>
      <c r="G770" s="4" t="s">
        <v>1748</v>
      </c>
      <c r="H770" s="4" t="s">
        <v>73</v>
      </c>
      <c r="I770" s="4" t="s">
        <v>816</v>
      </c>
      <c r="J770" s="6" t="n">
        <f aca="false">IFERROR(DATEVALUE(B770),"")</f>
        <v>45326</v>
      </c>
      <c r="K770" s="4" t="str">
        <f aca="false">IF(A770="","",PROPER(TRIM(C770)))</f>
        <v>West</v>
      </c>
      <c r="L770" s="4" t="str">
        <f aca="false">IF(A770="","",PROPER(TRIM(D770)))</f>
        <v>Footwear</v>
      </c>
      <c r="M770" s="4" t="n">
        <f aca="false">IFERROR(VALUE(F770),0)</f>
        <v>2</v>
      </c>
      <c r="N770" s="7" t="n">
        <f aca="false">IFERROR(VALUE(SUBSTITUTE(G770,"$","")),0)</f>
        <v>144.39</v>
      </c>
      <c r="O770" s="4" t="n">
        <f aca="false">IF(A770="",0,IF(COUNTIF($A$2:A770,A770)&gt;1,1,0))</f>
        <v>0</v>
      </c>
      <c r="P770" s="4" t="n">
        <f aca="false">IF(AND(A770&lt;&gt;"",J770&lt;&gt;"",M770&gt;0,N770&gt;0,O770=0),1,0)</f>
        <v>1</v>
      </c>
      <c r="Q770" s="7" t="n">
        <f aca="false">IF(P770=1,M770*N770,0)</f>
        <v>288.78</v>
      </c>
    </row>
    <row r="771" customFormat="false" ht="15" hidden="false" customHeight="false" outlineLevel="0" collapsed="false">
      <c r="A771" s="4" t="n">
        <v>10043</v>
      </c>
      <c r="B771" s="4" t="s">
        <v>1749</v>
      </c>
      <c r="C771" s="4" t="s">
        <v>155</v>
      </c>
      <c r="D771" s="4" t="s">
        <v>124</v>
      </c>
      <c r="E771" s="4" t="s">
        <v>94</v>
      </c>
      <c r="F771" s="4" t="n">
        <v>2</v>
      </c>
      <c r="G771" s="4" t="s">
        <v>1750</v>
      </c>
      <c r="H771" s="4" t="s">
        <v>73</v>
      </c>
      <c r="I771" s="4" t="s">
        <v>1183</v>
      </c>
      <c r="J771" s="6" t="n">
        <f aca="false">IFERROR(DATEVALUE(B771),"")</f>
        <v>45342</v>
      </c>
      <c r="K771" s="4" t="str">
        <f aca="false">IF(A771="","",PROPER(TRIM(C771)))</f>
        <v>South</v>
      </c>
      <c r="L771" s="4" t="str">
        <f aca="false">IF(A771="","",PROPER(TRIM(D771)))</f>
        <v>Climbing Gear</v>
      </c>
      <c r="M771" s="4" t="n">
        <f aca="false">IFERROR(VALUE(F771),0)</f>
        <v>2</v>
      </c>
      <c r="N771" s="7" t="n">
        <f aca="false">IFERROR(VALUE(SUBSTITUTE(G771,"$","")),0)</f>
        <v>172.77</v>
      </c>
      <c r="O771" s="4" t="n">
        <f aca="false">IF(A771="",0,IF(COUNTIF($A$2:A771,A771)&gt;1,1,0))</f>
        <v>0</v>
      </c>
      <c r="P771" s="4" t="n">
        <f aca="false">IF(AND(A771&lt;&gt;"",J771&lt;&gt;"",M771&gt;0,N771&gt;0,O771=0),1,0)</f>
        <v>1</v>
      </c>
      <c r="Q771" s="7" t="n">
        <f aca="false">IF(P771=1,M771*N771,0)</f>
        <v>345.54</v>
      </c>
    </row>
    <row r="772" customFormat="false" ht="15" hidden="false" customHeight="false" outlineLevel="0" collapsed="false">
      <c r="A772" s="4" t="n">
        <v>10396</v>
      </c>
      <c r="B772" s="4" t="s">
        <v>216</v>
      </c>
      <c r="C772" s="4" t="s">
        <v>224</v>
      </c>
      <c r="D772" s="4" t="s">
        <v>51</v>
      </c>
      <c r="E772" s="4" t="s">
        <v>160</v>
      </c>
      <c r="F772" s="4" t="n">
        <v>1</v>
      </c>
      <c r="G772" s="4" t="s">
        <v>1751</v>
      </c>
      <c r="H772" s="4" t="s">
        <v>47</v>
      </c>
      <c r="I772" s="4" t="s">
        <v>241</v>
      </c>
      <c r="J772" s="6" t="str">
        <f aca="false">IFERROR(DATEVALUE(B772),"")</f>
        <v/>
      </c>
      <c r="K772" s="4" t="str">
        <f aca="false">IF(A772="","",PROPER(TRIM(C772)))</f>
        <v>East</v>
      </c>
      <c r="L772" s="4" t="str">
        <f aca="false">IF(A772="","",PROPER(TRIM(D772)))</f>
        <v>Accessories</v>
      </c>
      <c r="M772" s="4" t="n">
        <f aca="false">IFERROR(VALUE(F772),0)</f>
        <v>1</v>
      </c>
      <c r="N772" s="7" t="n">
        <f aca="false">IFERROR(VALUE(SUBSTITUTE(G772,"$","")),0)</f>
        <v>24.84</v>
      </c>
      <c r="O772" s="4" t="n">
        <f aca="false">IF(A772="",0,IF(COUNTIF($A$2:A772,A772)&gt;1,1,0))</f>
        <v>0</v>
      </c>
      <c r="P772" s="4" t="n">
        <f aca="false">IF(AND(A772&lt;&gt;"",J772&lt;&gt;"",M772&gt;0,N772&gt;0,O772=0),1,0)</f>
        <v>0</v>
      </c>
      <c r="Q772" s="7" t="n">
        <f aca="false">IF(P772=1,M772*N772,0)</f>
        <v>0</v>
      </c>
    </row>
    <row r="773" customFormat="false" ht="15" hidden="false" customHeight="false" outlineLevel="0" collapsed="false">
      <c r="A773" s="4" t="n">
        <v>10565</v>
      </c>
      <c r="B773" s="4" t="s">
        <v>1385</v>
      </c>
      <c r="C773" s="4" t="s">
        <v>315</v>
      </c>
      <c r="D773" s="4" t="s">
        <v>58</v>
      </c>
      <c r="E773" s="4" t="s">
        <v>188</v>
      </c>
      <c r="F773" s="4" t="n">
        <v>1</v>
      </c>
      <c r="G773" s="4" t="s">
        <v>1752</v>
      </c>
      <c r="H773" s="4" t="s">
        <v>47</v>
      </c>
      <c r="I773" s="4" t="s">
        <v>286</v>
      </c>
      <c r="J773" s="6" t="n">
        <f aca="false">IFERROR(DATEVALUE(B773),"")</f>
        <v>45406</v>
      </c>
      <c r="K773" s="4" t="str">
        <f aca="false">IF(A773="","",PROPER(TRIM(C773)))</f>
        <v>South</v>
      </c>
      <c r="L773" s="4" t="str">
        <f aca="false">IF(A773="","",PROPER(TRIM(D773)))</f>
        <v>Climbing Gear</v>
      </c>
      <c r="M773" s="4" t="n">
        <f aca="false">IFERROR(VALUE(F773),0)</f>
        <v>1</v>
      </c>
      <c r="N773" s="7" t="n">
        <f aca="false">IFERROR(VALUE(SUBSTITUTE(G773,"$","")),0)</f>
        <v>18.42</v>
      </c>
      <c r="O773" s="4" t="n">
        <f aca="false">IF(A773="",0,IF(COUNTIF($A$2:A773,A773)&gt;1,1,0))</f>
        <v>0</v>
      </c>
      <c r="P773" s="4" t="n">
        <f aca="false">IF(AND(A773&lt;&gt;"",J773&lt;&gt;"",M773&gt;0,N773&gt;0,O773=0),1,0)</f>
        <v>1</v>
      </c>
      <c r="Q773" s="7" t="n">
        <f aca="false">IF(P773=1,M773*N773,0)</f>
        <v>18.42</v>
      </c>
    </row>
    <row r="774" customFormat="false" ht="15" hidden="false" customHeight="false" outlineLevel="0" collapsed="false">
      <c r="A774" s="4" t="n">
        <v>10735</v>
      </c>
      <c r="B774" s="4" t="s">
        <v>1753</v>
      </c>
      <c r="C774" s="4" t="s">
        <v>50</v>
      </c>
      <c r="D774" s="4" t="s">
        <v>281</v>
      </c>
      <c r="E774" s="4" t="s">
        <v>203</v>
      </c>
      <c r="F774" s="4" t="n">
        <v>1</v>
      </c>
      <c r="G774" s="4" t="s">
        <v>1754</v>
      </c>
      <c r="H774" s="4" t="s">
        <v>47</v>
      </c>
      <c r="I774" s="4" t="s">
        <v>658</v>
      </c>
      <c r="J774" s="6" t="n">
        <f aca="false">IFERROR(DATEVALUE(B774),"")</f>
        <v>45752</v>
      </c>
      <c r="K774" s="4" t="str">
        <f aca="false">IF(A774="","",PROPER(TRIM(C774)))</f>
        <v>Midwest</v>
      </c>
      <c r="L774" s="4" t="str">
        <f aca="false">IF(A774="","",PROPER(TRIM(D774)))</f>
        <v>Camping Gear</v>
      </c>
      <c r="M774" s="4" t="n">
        <f aca="false">IFERROR(VALUE(F774),0)</f>
        <v>1</v>
      </c>
      <c r="N774" s="7" t="n">
        <f aca="false">IFERROR(VALUE(SUBSTITUTE(G774,"$","")),0)</f>
        <v>227.62</v>
      </c>
      <c r="O774" s="4" t="n">
        <f aca="false">IF(A774="",0,IF(COUNTIF($A$2:A774,A774)&gt;1,1,0))</f>
        <v>0</v>
      </c>
      <c r="P774" s="4" t="n">
        <f aca="false">IF(AND(A774&lt;&gt;"",J774&lt;&gt;"",M774&gt;0,N774&gt;0,O774=0),1,0)</f>
        <v>1</v>
      </c>
      <c r="Q774" s="7" t="n">
        <f aca="false">IF(P774=1,M774*N774,0)</f>
        <v>227.62</v>
      </c>
    </row>
    <row r="775" customFormat="false" ht="15" hidden="false" customHeight="false" outlineLevel="0" collapsed="false">
      <c r="A775" s="4" t="n">
        <v>10093</v>
      </c>
      <c r="B775" s="4" t="s">
        <v>209</v>
      </c>
      <c r="C775" s="4" t="s">
        <v>63</v>
      </c>
      <c r="D775" s="4" t="s">
        <v>164</v>
      </c>
      <c r="E775" s="4" t="s">
        <v>116</v>
      </c>
      <c r="F775" s="4" t="n">
        <v>1</v>
      </c>
      <c r="G775" s="4" t="s">
        <v>1755</v>
      </c>
      <c r="H775" s="4" t="s">
        <v>54</v>
      </c>
      <c r="I775" s="4" t="s">
        <v>1077</v>
      </c>
      <c r="J775" s="6" t="n">
        <f aca="false">IFERROR(DATEVALUE(B775),"")</f>
        <v>45326</v>
      </c>
      <c r="K775" s="4" t="str">
        <f aca="false">IF(A775="","",PROPER(TRIM(C775)))</f>
        <v>Midwest</v>
      </c>
      <c r="L775" s="4" t="str">
        <f aca="false">IF(A775="","",PROPER(TRIM(D775)))</f>
        <v>Apparel</v>
      </c>
      <c r="M775" s="4" t="n">
        <f aca="false">IFERROR(VALUE(F775),0)</f>
        <v>1</v>
      </c>
      <c r="N775" s="7" t="n">
        <f aca="false">IFERROR(VALUE(SUBSTITUTE(G775,"$","")),0)</f>
        <v>65.21</v>
      </c>
      <c r="O775" s="4" t="n">
        <f aca="false">IF(A775="",0,IF(COUNTIF($A$2:A775,A775)&gt;1,1,0))</f>
        <v>0</v>
      </c>
      <c r="P775" s="4" t="n">
        <f aca="false">IF(AND(A775&lt;&gt;"",J775&lt;&gt;"",M775&gt;0,N775&gt;0,O775=0),1,0)</f>
        <v>1</v>
      </c>
      <c r="Q775" s="7" t="n">
        <f aca="false">IF(P775=1,M775*N775,0)</f>
        <v>65.21</v>
      </c>
    </row>
    <row r="776" customFormat="false" ht="15" hidden="false" customHeight="false" outlineLevel="0" collapsed="false">
      <c r="A776" s="4" t="n">
        <v>10025</v>
      </c>
      <c r="B776" s="4" t="s">
        <v>1756</v>
      </c>
      <c r="C776" s="4" t="s">
        <v>57</v>
      </c>
      <c r="D776" s="4" t="s">
        <v>64</v>
      </c>
      <c r="E776" s="4" t="s">
        <v>77</v>
      </c>
      <c r="F776" s="4" t="n">
        <v>1</v>
      </c>
      <c r="G776" s="4" t="s">
        <v>1757</v>
      </c>
      <c r="H776" s="4" t="s">
        <v>47</v>
      </c>
      <c r="I776" s="4" t="s">
        <v>227</v>
      </c>
      <c r="J776" s="6" t="n">
        <f aca="false">IFERROR(DATEVALUE(B776),"")</f>
        <v>45526</v>
      </c>
      <c r="K776" s="4" t="str">
        <f aca="false">IF(A776="","",PROPER(TRIM(C776)))</f>
        <v>West</v>
      </c>
      <c r="L776" s="4" t="str">
        <f aca="false">IF(A776="","",PROPER(TRIM(D776)))</f>
        <v>Footwear</v>
      </c>
      <c r="M776" s="4" t="n">
        <f aca="false">IFERROR(VALUE(F776),0)</f>
        <v>1</v>
      </c>
      <c r="N776" s="7" t="n">
        <f aca="false">IFERROR(VALUE(SUBSTITUTE(G776,"$","")),0)</f>
        <v>149</v>
      </c>
      <c r="O776" s="4" t="n">
        <f aca="false">IF(A776="",0,IF(COUNTIF($A$2:A776,A776)&gt;1,1,0))</f>
        <v>0</v>
      </c>
      <c r="P776" s="4" t="n">
        <f aca="false">IF(AND(A776&lt;&gt;"",J776&lt;&gt;"",M776&gt;0,N776&gt;0,O776=0),1,0)</f>
        <v>1</v>
      </c>
      <c r="Q776" s="7" t="n">
        <f aca="false">IF(P776=1,M776*N776,0)</f>
        <v>149</v>
      </c>
    </row>
    <row r="777" customFormat="false" ht="15" hidden="false" customHeight="false" outlineLevel="0" collapsed="false">
      <c r="A777" s="4" t="n">
        <v>10041</v>
      </c>
      <c r="B777" s="4" t="s">
        <v>1758</v>
      </c>
      <c r="C777" s="4" t="s">
        <v>133</v>
      </c>
      <c r="D777" s="4" t="s">
        <v>387</v>
      </c>
      <c r="E777" s="4" t="s">
        <v>71</v>
      </c>
      <c r="F777" s="4" t="n">
        <v>1</v>
      </c>
      <c r="G777" s="4" t="s">
        <v>1759</v>
      </c>
      <c r="H777" s="4" t="s">
        <v>54</v>
      </c>
      <c r="I777" s="4" t="s">
        <v>279</v>
      </c>
      <c r="J777" s="6" t="n">
        <f aca="false">IFERROR(DATEVALUE(B777),"")</f>
        <v>45414</v>
      </c>
      <c r="K777" s="4" t="str">
        <f aca="false">IF(A777="","",PROPER(TRIM(C777)))</f>
        <v>East</v>
      </c>
      <c r="L777" s="4" t="str">
        <f aca="false">IF(A777="","",PROPER(TRIM(D777)))</f>
        <v>Camping Gear</v>
      </c>
      <c r="M777" s="4" t="n">
        <f aca="false">IFERROR(VALUE(F777),0)</f>
        <v>1</v>
      </c>
      <c r="N777" s="7" t="n">
        <f aca="false">IFERROR(VALUE(SUBSTITUTE(G777,"$","")),0)</f>
        <v>72.12</v>
      </c>
      <c r="O777" s="4" t="n">
        <f aca="false">IF(A777="",0,IF(COUNTIF($A$2:A777,A777)&gt;1,1,0))</f>
        <v>0</v>
      </c>
      <c r="P777" s="4" t="n">
        <f aca="false">IF(AND(A777&lt;&gt;"",J777&lt;&gt;"",M777&gt;0,N777&gt;0,O777=0),1,0)</f>
        <v>1</v>
      </c>
      <c r="Q777" s="7" t="n">
        <f aca="false">IF(P777=1,M777*N777,0)</f>
        <v>72.12</v>
      </c>
    </row>
    <row r="778" customFormat="false" ht="15" hidden="false" customHeight="false" outlineLevel="0" collapsed="false">
      <c r="A778" s="4" t="n">
        <v>10113</v>
      </c>
      <c r="B778" s="4" t="s">
        <v>1760</v>
      </c>
      <c r="C778" s="4" t="s">
        <v>50</v>
      </c>
      <c r="D778" s="4" t="s">
        <v>70</v>
      </c>
      <c r="E778" s="4" t="s">
        <v>448</v>
      </c>
      <c r="F778" s="4" t="n">
        <v>1</v>
      </c>
      <c r="G778" s="4" t="s">
        <v>1761</v>
      </c>
      <c r="H778" s="4" t="s">
        <v>47</v>
      </c>
      <c r="I778" s="4" t="s">
        <v>197</v>
      </c>
      <c r="J778" s="6" t="n">
        <f aca="false">IFERROR(DATEVALUE(B778),"")</f>
        <v>45556</v>
      </c>
      <c r="K778" s="4" t="str">
        <f aca="false">IF(A778="","",PROPER(TRIM(C778)))</f>
        <v>Midwest</v>
      </c>
      <c r="L778" s="4" t="str">
        <f aca="false">IF(A778="","",PROPER(TRIM(D778)))</f>
        <v>Camping Gear</v>
      </c>
      <c r="M778" s="4" t="n">
        <f aca="false">IFERROR(VALUE(F778),0)</f>
        <v>1</v>
      </c>
      <c r="N778" s="7" t="n">
        <f aca="false">IFERROR(VALUE(SUBSTITUTE(G778,"$","")),0)</f>
        <v>208.35</v>
      </c>
      <c r="O778" s="4" t="n">
        <f aca="false">IF(A778="",0,IF(COUNTIF($A$2:A778,A778)&gt;1,1,0))</f>
        <v>0</v>
      </c>
      <c r="P778" s="4" t="n">
        <f aca="false">IF(AND(A778&lt;&gt;"",J778&lt;&gt;"",M778&gt;0,N778&gt;0,O778=0),1,0)</f>
        <v>1</v>
      </c>
      <c r="Q778" s="7" t="n">
        <f aca="false">IF(P778=1,M778*N778,0)</f>
        <v>208.35</v>
      </c>
    </row>
    <row r="779" customFormat="false" ht="15" hidden="false" customHeight="false" outlineLevel="0" collapsed="false">
      <c r="A779" s="4" t="n">
        <v>10650</v>
      </c>
      <c r="B779" s="4" t="s">
        <v>1762</v>
      </c>
      <c r="C779" s="4" t="s">
        <v>140</v>
      </c>
      <c r="D779" s="4" t="s">
        <v>387</v>
      </c>
      <c r="E779" s="4" t="s">
        <v>251</v>
      </c>
      <c r="F779" s="4" t="n">
        <v>0</v>
      </c>
      <c r="G779" s="4" t="s">
        <v>1763</v>
      </c>
      <c r="H779" s="4" t="s">
        <v>54</v>
      </c>
      <c r="I779" s="4" t="s">
        <v>1341</v>
      </c>
      <c r="J779" s="6" t="n">
        <f aca="false">IFERROR(DATEVALUE(B779),"")</f>
        <v>45751</v>
      </c>
      <c r="K779" s="4" t="str">
        <f aca="false">IF(A779="","",PROPER(TRIM(C779)))</f>
        <v>South</v>
      </c>
      <c r="L779" s="4" t="str">
        <f aca="false">IF(A779="","",PROPER(TRIM(D779)))</f>
        <v>Camping Gear</v>
      </c>
      <c r="M779" s="4" t="n">
        <f aca="false">IFERROR(VALUE(F779),0)</f>
        <v>0</v>
      </c>
      <c r="N779" s="7" t="n">
        <f aca="false">IFERROR(VALUE(SUBSTITUTE(G779,"$","")),0)</f>
        <v>86.37</v>
      </c>
      <c r="O779" s="4" t="n">
        <f aca="false">IF(A779="",0,IF(COUNTIF($A$2:A779,A779)&gt;1,1,0))</f>
        <v>0</v>
      </c>
      <c r="P779" s="4" t="n">
        <f aca="false">IF(AND(A779&lt;&gt;"",J779&lt;&gt;"",M779&gt;0,N779&gt;0,O779=0),1,0)</f>
        <v>0</v>
      </c>
      <c r="Q779" s="7" t="n">
        <f aca="false">IF(P779=1,M779*N779,0)</f>
        <v>0</v>
      </c>
    </row>
    <row r="780" customFormat="false" ht="15" hidden="false" customHeight="false" outlineLevel="0" collapsed="false">
      <c r="A780" s="4" t="n">
        <v>10765</v>
      </c>
      <c r="B780" s="4" t="s">
        <v>1522</v>
      </c>
      <c r="C780" s="4" t="s">
        <v>224</v>
      </c>
      <c r="D780" s="4" t="s">
        <v>124</v>
      </c>
      <c r="E780" s="4" t="s">
        <v>188</v>
      </c>
      <c r="F780" s="4" t="n">
        <v>3</v>
      </c>
      <c r="G780" s="4" t="s">
        <v>1764</v>
      </c>
      <c r="H780" s="4" t="s">
        <v>47</v>
      </c>
      <c r="I780" s="4" t="s">
        <v>1765</v>
      </c>
      <c r="J780" s="6" t="n">
        <f aca="false">IFERROR(DATEVALUE(B780),"")</f>
        <v>45511</v>
      </c>
      <c r="K780" s="4" t="str">
        <f aca="false">IF(A780="","",PROPER(TRIM(C780)))</f>
        <v>East</v>
      </c>
      <c r="L780" s="4" t="str">
        <f aca="false">IF(A780="","",PROPER(TRIM(D780)))</f>
        <v>Climbing Gear</v>
      </c>
      <c r="M780" s="4" t="n">
        <f aca="false">IFERROR(VALUE(F780),0)</f>
        <v>3</v>
      </c>
      <c r="N780" s="7" t="n">
        <f aca="false">IFERROR(VALUE(SUBSTITUTE(G780,"$","")),0)</f>
        <v>21.89</v>
      </c>
      <c r="O780" s="4" t="n">
        <f aca="false">IF(A780="",0,IF(COUNTIF($A$2:A780,A780)&gt;1,1,0))</f>
        <v>0</v>
      </c>
      <c r="P780" s="4" t="n">
        <f aca="false">IF(AND(A780&lt;&gt;"",J780&lt;&gt;"",M780&gt;0,N780&gt;0,O780=0),1,0)</f>
        <v>1</v>
      </c>
      <c r="Q780" s="7" t="n">
        <f aca="false">IF(P780=1,M780*N780,0)</f>
        <v>65.67</v>
      </c>
    </row>
    <row r="781" customFormat="false" ht="15" hidden="false" customHeight="false" outlineLevel="0" collapsed="false">
      <c r="A781" s="4" t="n">
        <v>10036</v>
      </c>
      <c r="B781" s="4" t="s">
        <v>1766</v>
      </c>
      <c r="C781" s="4" t="s">
        <v>140</v>
      </c>
      <c r="D781" s="4" t="s">
        <v>101</v>
      </c>
      <c r="E781" s="4" t="s">
        <v>45</v>
      </c>
      <c r="F781" s="4" t="n">
        <v>3</v>
      </c>
      <c r="G781" s="4" t="s">
        <v>1767</v>
      </c>
      <c r="H781" s="4" t="s">
        <v>73</v>
      </c>
      <c r="I781" s="4" t="s">
        <v>761</v>
      </c>
      <c r="J781" s="6" t="n">
        <f aca="false">IFERROR(DATEVALUE(B781),"")</f>
        <v>45359</v>
      </c>
      <c r="K781" s="4" t="str">
        <f aca="false">IF(A781="","",PROPER(TRIM(C781)))</f>
        <v>South</v>
      </c>
      <c r="L781" s="4" t="str">
        <f aca="false">IF(A781="","",PROPER(TRIM(D781)))</f>
        <v>Accessories</v>
      </c>
      <c r="M781" s="4" t="n">
        <f aca="false">IFERROR(VALUE(F781),0)</f>
        <v>3</v>
      </c>
      <c r="N781" s="7" t="n">
        <f aca="false">IFERROR(VALUE(SUBSTITUTE(G781,"$","")),0)</f>
        <v>53.23</v>
      </c>
      <c r="O781" s="4" t="n">
        <f aca="false">IF(A781="",0,IF(COUNTIF($A$2:A781,A781)&gt;1,1,0))</f>
        <v>0</v>
      </c>
      <c r="P781" s="4" t="n">
        <f aca="false">IF(AND(A781&lt;&gt;"",J781&lt;&gt;"",M781&gt;0,N781&gt;0,O781=0),1,0)</f>
        <v>1</v>
      </c>
      <c r="Q781" s="7" t="n">
        <f aca="false">IF(P781=1,M781*N781,0)</f>
        <v>159.69</v>
      </c>
    </row>
    <row r="782" customFormat="false" ht="15" hidden="false" customHeight="false" outlineLevel="0" collapsed="false">
      <c r="A782" s="4" t="n">
        <v>10662</v>
      </c>
      <c r="B782" s="4" t="s">
        <v>1768</v>
      </c>
      <c r="C782" s="4" t="s">
        <v>315</v>
      </c>
      <c r="D782" s="4" t="s">
        <v>387</v>
      </c>
      <c r="E782" s="4" t="s">
        <v>251</v>
      </c>
      <c r="F782" s="4" t="n">
        <v>2</v>
      </c>
      <c r="G782" s="4"/>
      <c r="H782" s="4" t="s">
        <v>54</v>
      </c>
      <c r="I782" s="4" t="s">
        <v>597</v>
      </c>
      <c r="J782" s="6" t="n">
        <f aca="false">IFERROR(DATEVALUE(B782),"")</f>
        <v>45485</v>
      </c>
      <c r="K782" s="4" t="str">
        <f aca="false">IF(A782="","",PROPER(TRIM(C782)))</f>
        <v>South</v>
      </c>
      <c r="L782" s="4" t="str">
        <f aca="false">IF(A782="","",PROPER(TRIM(D782)))</f>
        <v>Camping Gear</v>
      </c>
      <c r="M782" s="4" t="n">
        <f aca="false">IFERROR(VALUE(F782),0)</f>
        <v>2</v>
      </c>
      <c r="N782" s="7" t="n">
        <f aca="false">IFERROR(VALUE(SUBSTITUTE(G782,"$","")),0)</f>
        <v>0</v>
      </c>
      <c r="O782" s="4" t="n">
        <f aca="false">IF(A782="",0,IF(COUNTIF($A$2:A782,A782)&gt;1,1,0))</f>
        <v>0</v>
      </c>
      <c r="P782" s="4" t="n">
        <f aca="false">IF(AND(A782&lt;&gt;"",J782&lt;&gt;"",M782&gt;0,N782&gt;0,O782=0),1,0)</f>
        <v>0</v>
      </c>
      <c r="Q782" s="7" t="n">
        <f aca="false">IF(P782=1,M782*N782,0)</f>
        <v>0</v>
      </c>
    </row>
    <row r="783" customFormat="false" ht="15" hidden="false" customHeight="false" outlineLevel="0" collapsed="false">
      <c r="A783" s="4" t="n">
        <v>10628</v>
      </c>
      <c r="B783" s="4" t="s">
        <v>1769</v>
      </c>
      <c r="C783" s="4" t="s">
        <v>541</v>
      </c>
      <c r="D783" s="4" t="s">
        <v>164</v>
      </c>
      <c r="E783" s="4" t="s">
        <v>142</v>
      </c>
      <c r="F783" s="4" t="n">
        <v>2</v>
      </c>
      <c r="G783" s="4" t="s">
        <v>1770</v>
      </c>
      <c r="H783" s="4" t="s">
        <v>47</v>
      </c>
      <c r="I783" s="4" t="s">
        <v>307</v>
      </c>
      <c r="J783" s="6" t="n">
        <f aca="false">IFERROR(DATEVALUE(B783),"")</f>
        <v>45626</v>
      </c>
      <c r="K783" s="4" t="str">
        <f aca="false">IF(A783="","",PROPER(TRIM(C783)))</f>
        <v>West</v>
      </c>
      <c r="L783" s="4" t="str">
        <f aca="false">IF(A783="","",PROPER(TRIM(D783)))</f>
        <v>Apparel</v>
      </c>
      <c r="M783" s="4" t="n">
        <f aca="false">IFERROR(VALUE(F783),0)</f>
        <v>2</v>
      </c>
      <c r="N783" s="7" t="n">
        <f aca="false">IFERROR(VALUE(SUBSTITUTE(G783,"$","")),0)</f>
        <v>175.93</v>
      </c>
      <c r="O783" s="4" t="n">
        <f aca="false">IF(A783="",0,IF(COUNTIF($A$2:A783,A783)&gt;1,1,0))</f>
        <v>0</v>
      </c>
      <c r="P783" s="4" t="n">
        <f aca="false">IF(AND(A783&lt;&gt;"",J783&lt;&gt;"",M783&gt;0,N783&gt;0,O783=0),1,0)</f>
        <v>1</v>
      </c>
      <c r="Q783" s="7" t="n">
        <f aca="false">IF(P783=1,M783*N783,0)</f>
        <v>351.86</v>
      </c>
    </row>
    <row r="784" customFormat="false" ht="15" hidden="false" customHeight="false" outlineLevel="0" collapsed="false">
      <c r="A784" s="4" t="n">
        <v>10320</v>
      </c>
      <c r="B784" s="4" t="s">
        <v>1510</v>
      </c>
      <c r="C784" s="4" t="s">
        <v>110</v>
      </c>
      <c r="D784" s="4" t="s">
        <v>101</v>
      </c>
      <c r="E784" s="4" t="s">
        <v>52</v>
      </c>
      <c r="F784" s="4" t="n">
        <v>1</v>
      </c>
      <c r="G784" s="4" t="s">
        <v>1771</v>
      </c>
      <c r="H784" s="4" t="s">
        <v>54</v>
      </c>
      <c r="I784" s="4" t="s">
        <v>842</v>
      </c>
      <c r="J784" s="6" t="n">
        <f aca="false">IFERROR(DATEVALUE(B784),"")</f>
        <v>45327</v>
      </c>
      <c r="K784" s="4" t="str">
        <f aca="false">IF(A784="","",PROPER(TRIM(C784)))</f>
        <v>Midwest</v>
      </c>
      <c r="L784" s="4" t="str">
        <f aca="false">IF(A784="","",PROPER(TRIM(D784)))</f>
        <v>Accessories</v>
      </c>
      <c r="M784" s="4" t="n">
        <f aca="false">IFERROR(VALUE(F784),0)</f>
        <v>1</v>
      </c>
      <c r="N784" s="7" t="n">
        <f aca="false">IFERROR(VALUE(SUBSTITUTE(G784,"$","")),0)</f>
        <v>77.83</v>
      </c>
      <c r="O784" s="4" t="n">
        <f aca="false">IF(A784="",0,IF(COUNTIF($A$2:A784,A784)&gt;1,1,0))</f>
        <v>0</v>
      </c>
      <c r="P784" s="4" t="n">
        <f aca="false">IF(AND(A784&lt;&gt;"",J784&lt;&gt;"",M784&gt;0,N784&gt;0,O784=0),1,0)</f>
        <v>1</v>
      </c>
      <c r="Q784" s="7" t="n">
        <f aca="false">IF(P784=1,M784*N784,0)</f>
        <v>77.83</v>
      </c>
    </row>
    <row r="785" customFormat="false" ht="15" hidden="false" customHeight="false" outlineLevel="0" collapsed="false">
      <c r="A785" s="4" t="n">
        <v>10019</v>
      </c>
      <c r="B785" s="4" t="s">
        <v>1772</v>
      </c>
      <c r="C785" s="4" t="s">
        <v>155</v>
      </c>
      <c r="D785" s="4" t="s">
        <v>387</v>
      </c>
      <c r="E785" s="4" t="s">
        <v>251</v>
      </c>
      <c r="F785" s="4" t="n">
        <v>1</v>
      </c>
      <c r="G785" s="4" t="s">
        <v>1773</v>
      </c>
      <c r="H785" s="4" t="s">
        <v>54</v>
      </c>
      <c r="I785" s="4" t="s">
        <v>173</v>
      </c>
      <c r="J785" s="6" t="n">
        <f aca="false">IFERROR(DATEVALUE(B785),"")</f>
        <v>45821</v>
      </c>
      <c r="K785" s="4" t="str">
        <f aca="false">IF(A785="","",PROPER(TRIM(C785)))</f>
        <v>South</v>
      </c>
      <c r="L785" s="4" t="str">
        <f aca="false">IF(A785="","",PROPER(TRIM(D785)))</f>
        <v>Camping Gear</v>
      </c>
      <c r="M785" s="4" t="n">
        <f aca="false">IFERROR(VALUE(F785),0)</f>
        <v>1</v>
      </c>
      <c r="N785" s="7" t="n">
        <f aca="false">IFERROR(VALUE(SUBSTITUTE(G785,"$","")),0)</f>
        <v>85.24</v>
      </c>
      <c r="O785" s="4" t="n">
        <f aca="false">IF(A785="",0,IF(COUNTIF($A$2:A785,A785)&gt;1,1,0))</f>
        <v>0</v>
      </c>
      <c r="P785" s="4" t="n">
        <f aca="false">IF(AND(A785&lt;&gt;"",J785&lt;&gt;"",M785&gt;0,N785&gt;0,O785=0),1,0)</f>
        <v>1</v>
      </c>
      <c r="Q785" s="7" t="n">
        <f aca="false">IF(P785=1,M785*N785,0)</f>
        <v>85.24</v>
      </c>
    </row>
    <row r="786" customFormat="false" ht="15" hidden="false" customHeight="false" outlineLevel="0" collapsed="false">
      <c r="A786" s="4" t="n">
        <v>10722</v>
      </c>
      <c r="B786" s="4" t="s">
        <v>1774</v>
      </c>
      <c r="C786" s="4" t="s">
        <v>80</v>
      </c>
      <c r="D786" s="4" t="s">
        <v>230</v>
      </c>
      <c r="E786" s="4" t="s">
        <v>89</v>
      </c>
      <c r="F786" s="4" t="n">
        <v>1</v>
      </c>
      <c r="G786" s="4" t="s">
        <v>1775</v>
      </c>
      <c r="H786" s="4" t="s">
        <v>73</v>
      </c>
      <c r="I786" s="4" t="s">
        <v>1036</v>
      </c>
      <c r="J786" s="6" t="n">
        <f aca="false">IFERROR(DATEVALUE(B786),"")</f>
        <v>45466</v>
      </c>
      <c r="K786" s="4" t="str">
        <f aca="false">IF(A786="","",PROPER(TRIM(C786)))</f>
        <v>South</v>
      </c>
      <c r="L786" s="4" t="str">
        <f aca="false">IF(A786="","",PROPER(TRIM(D786)))</f>
        <v>Apparel</v>
      </c>
      <c r="M786" s="4" t="n">
        <f aca="false">IFERROR(VALUE(F786),0)</f>
        <v>1</v>
      </c>
      <c r="N786" s="7" t="n">
        <f aca="false">IFERROR(VALUE(SUBSTITUTE(G786,"$","")),0)</f>
        <v>63.86</v>
      </c>
      <c r="O786" s="4" t="n">
        <f aca="false">IF(A786="",0,IF(COUNTIF($A$2:A786,A786)&gt;1,1,0))</f>
        <v>0</v>
      </c>
      <c r="P786" s="4" t="n">
        <f aca="false">IF(AND(A786&lt;&gt;"",J786&lt;&gt;"",M786&gt;0,N786&gt;0,O786=0),1,0)</f>
        <v>1</v>
      </c>
      <c r="Q786" s="7" t="n">
        <f aca="false">IF(P786=1,M786*N786,0)</f>
        <v>63.86</v>
      </c>
    </row>
    <row r="787" customFormat="false" ht="15" hidden="false" customHeight="false" outlineLevel="0" collapsed="false">
      <c r="A787" s="4" t="n">
        <v>10032</v>
      </c>
      <c r="B787" s="4" t="s">
        <v>1776</v>
      </c>
      <c r="C787" s="4" t="s">
        <v>321</v>
      </c>
      <c r="D787" s="4" t="s">
        <v>70</v>
      </c>
      <c r="E787" s="4" t="s">
        <v>448</v>
      </c>
      <c r="F787" s="4" t="n">
        <v>1</v>
      </c>
      <c r="G787" s="4" t="s">
        <v>1777</v>
      </c>
      <c r="H787" s="4" t="s">
        <v>73</v>
      </c>
      <c r="I787" s="4" t="s">
        <v>1778</v>
      </c>
      <c r="J787" s="6" t="n">
        <f aca="false">IFERROR(DATEVALUE(B787),"")</f>
        <v>45682</v>
      </c>
      <c r="K787" s="4" t="str">
        <f aca="false">IF(A787="","",PROPER(TRIM(C787)))</f>
        <v>West</v>
      </c>
      <c r="L787" s="4" t="str">
        <f aca="false">IF(A787="","",PROPER(TRIM(D787)))</f>
        <v>Camping Gear</v>
      </c>
      <c r="M787" s="4" t="n">
        <f aca="false">IFERROR(VALUE(F787),0)</f>
        <v>1</v>
      </c>
      <c r="N787" s="7" t="n">
        <f aca="false">IFERROR(VALUE(SUBSTITUTE(G787,"$","")),0)</f>
        <v>171.04</v>
      </c>
      <c r="O787" s="4" t="n">
        <f aca="false">IF(A787="",0,IF(COUNTIF($A$2:A787,A787)&gt;1,1,0))</f>
        <v>0</v>
      </c>
      <c r="P787" s="4" t="n">
        <f aca="false">IF(AND(A787&lt;&gt;"",J787&lt;&gt;"",M787&gt;0,N787&gt;0,O787=0),1,0)</f>
        <v>1</v>
      </c>
      <c r="Q787" s="7" t="n">
        <f aca="false">IF(P787=1,M787*N787,0)</f>
        <v>171.04</v>
      </c>
    </row>
    <row r="788" customFormat="false" ht="15" hidden="false" customHeight="false" outlineLevel="0" collapsed="false">
      <c r="A788" s="4" t="n">
        <v>10634</v>
      </c>
      <c r="B788" s="4" t="s">
        <v>1321</v>
      </c>
      <c r="C788" s="4" t="s">
        <v>69</v>
      </c>
      <c r="D788" s="4" t="s">
        <v>281</v>
      </c>
      <c r="E788" s="4" t="s">
        <v>251</v>
      </c>
      <c r="F788" s="4" t="n">
        <v>4</v>
      </c>
      <c r="G788" s="4" t="s">
        <v>1779</v>
      </c>
      <c r="H788" s="4" t="s">
        <v>73</v>
      </c>
      <c r="I788" s="4" t="s">
        <v>529</v>
      </c>
      <c r="J788" s="6" t="n">
        <f aca="false">IFERROR(DATEVALUE(B788),"")</f>
        <v>45620</v>
      </c>
      <c r="K788" s="4" t="str">
        <f aca="false">IF(A788="","",PROPER(TRIM(C788)))</f>
        <v>East</v>
      </c>
      <c r="L788" s="4" t="str">
        <f aca="false">IF(A788="","",PROPER(TRIM(D788)))</f>
        <v>Camping Gear</v>
      </c>
      <c r="M788" s="4" t="n">
        <f aca="false">IFERROR(VALUE(F788),0)</f>
        <v>4</v>
      </c>
      <c r="N788" s="7" t="n">
        <f aca="false">IFERROR(VALUE(SUBSTITUTE(G788,"$","")),0)</f>
        <v>91.89</v>
      </c>
      <c r="O788" s="4" t="n">
        <f aca="false">IF(A788="",0,IF(COUNTIF($A$2:A788,A788)&gt;1,1,0))</f>
        <v>0</v>
      </c>
      <c r="P788" s="4" t="n">
        <f aca="false">IF(AND(A788&lt;&gt;"",J788&lt;&gt;"",M788&gt;0,N788&gt;0,O788=0),1,0)</f>
        <v>1</v>
      </c>
      <c r="Q788" s="7" t="n">
        <f aca="false">IF(P788=1,M788*N788,0)</f>
        <v>367.56</v>
      </c>
    </row>
    <row r="789" customFormat="false" ht="15" hidden="false" customHeight="false" outlineLevel="0" collapsed="false">
      <c r="A789" s="4" t="n">
        <v>10062</v>
      </c>
      <c r="B789" s="4" t="s">
        <v>1780</v>
      </c>
      <c r="C789" s="4" t="s">
        <v>63</v>
      </c>
      <c r="D789" s="4" t="s">
        <v>333</v>
      </c>
      <c r="E789" s="4" t="s">
        <v>52</v>
      </c>
      <c r="F789" s="4" t="n">
        <v>2</v>
      </c>
      <c r="G789" s="4" t="s">
        <v>1781</v>
      </c>
      <c r="H789" s="4" t="s">
        <v>47</v>
      </c>
      <c r="I789" s="4" t="s">
        <v>716</v>
      </c>
      <c r="J789" s="6" t="n">
        <f aca="false">IFERROR(DATEVALUE(B789),"")</f>
        <v>45697</v>
      </c>
      <c r="K789" s="4" t="str">
        <f aca="false">IF(A789="","",PROPER(TRIM(C789)))</f>
        <v>Midwest</v>
      </c>
      <c r="L789" s="4" t="str">
        <f aca="false">IF(A789="","",PROPER(TRIM(D789)))</f>
        <v>Accessories</v>
      </c>
      <c r="M789" s="4" t="n">
        <f aca="false">IFERROR(VALUE(F789),0)</f>
        <v>2</v>
      </c>
      <c r="N789" s="7" t="n">
        <f aca="false">IFERROR(VALUE(SUBSTITUTE(G789,"$","")),0)</f>
        <v>83.42</v>
      </c>
      <c r="O789" s="4" t="n">
        <f aca="false">IF(A789="",0,IF(COUNTIF($A$2:A789,A789)&gt;1,1,0))</f>
        <v>0</v>
      </c>
      <c r="P789" s="4" t="n">
        <f aca="false">IF(AND(A789&lt;&gt;"",J789&lt;&gt;"",M789&gt;0,N789&gt;0,O789=0),1,0)</f>
        <v>1</v>
      </c>
      <c r="Q789" s="7" t="n">
        <f aca="false">IF(P789=1,M789*N789,0)</f>
        <v>166.84</v>
      </c>
    </row>
    <row r="790" customFormat="false" ht="15" hidden="false" customHeight="false" outlineLevel="0" collapsed="false">
      <c r="A790" s="4" t="n">
        <v>10169</v>
      </c>
      <c r="B790" s="4" t="s">
        <v>1484</v>
      </c>
      <c r="C790" s="4" t="s">
        <v>110</v>
      </c>
      <c r="D790" s="4" t="s">
        <v>101</v>
      </c>
      <c r="E790" s="4" t="s">
        <v>52</v>
      </c>
      <c r="F790" s="4" t="n">
        <v>2</v>
      </c>
      <c r="G790" s="4" t="s">
        <v>1782</v>
      </c>
      <c r="H790" s="4" t="s">
        <v>73</v>
      </c>
      <c r="I790" s="4" t="s">
        <v>699</v>
      </c>
      <c r="J790" s="6" t="n">
        <f aca="false">IFERROR(DATEVALUE(B790),"")</f>
        <v>45825</v>
      </c>
      <c r="K790" s="4" t="str">
        <f aca="false">IF(A790="","",PROPER(TRIM(C790)))</f>
        <v>Midwest</v>
      </c>
      <c r="L790" s="4" t="str">
        <f aca="false">IF(A790="","",PROPER(TRIM(D790)))</f>
        <v>Accessories</v>
      </c>
      <c r="M790" s="4" t="n">
        <f aca="false">IFERROR(VALUE(F790),0)</f>
        <v>2</v>
      </c>
      <c r="N790" s="7" t="n">
        <f aca="false">IFERROR(VALUE(SUBSTITUTE(G790,"$","")),0)</f>
        <v>88.61</v>
      </c>
      <c r="O790" s="4" t="n">
        <f aca="false">IF(A790="",0,IF(COUNTIF($A$2:A790,A790)&gt;1,1,0))</f>
        <v>0</v>
      </c>
      <c r="P790" s="4" t="n">
        <f aca="false">IF(AND(A790&lt;&gt;"",J790&lt;&gt;"",M790&gt;0,N790&gt;0,O790=0),1,0)</f>
        <v>1</v>
      </c>
      <c r="Q790" s="7" t="n">
        <f aca="false">IF(P790=1,M790*N790,0)</f>
        <v>177.22</v>
      </c>
    </row>
    <row r="791" customFormat="false" ht="15" hidden="false" customHeight="false" outlineLevel="0" collapsed="false">
      <c r="A791" s="4" t="n">
        <v>10633</v>
      </c>
      <c r="B791" s="4" t="s">
        <v>1783</v>
      </c>
      <c r="C791" s="4" t="s">
        <v>69</v>
      </c>
      <c r="D791" s="4" t="s">
        <v>51</v>
      </c>
      <c r="E791" s="4" t="s">
        <v>160</v>
      </c>
      <c r="F791" s="4" t="n">
        <v>1</v>
      </c>
      <c r="G791" s="4" t="s">
        <v>1784</v>
      </c>
      <c r="H791" s="4" t="s">
        <v>73</v>
      </c>
      <c r="I791" s="4" t="s">
        <v>892</v>
      </c>
      <c r="J791" s="6" t="n">
        <f aca="false">IFERROR(DATEVALUE(B791),"")</f>
        <v>45734</v>
      </c>
      <c r="K791" s="4" t="str">
        <f aca="false">IF(A791="","",PROPER(TRIM(C791)))</f>
        <v>East</v>
      </c>
      <c r="L791" s="4" t="str">
        <f aca="false">IF(A791="","",PROPER(TRIM(D791)))</f>
        <v>Accessories</v>
      </c>
      <c r="M791" s="4" t="n">
        <f aca="false">IFERROR(VALUE(F791),0)</f>
        <v>1</v>
      </c>
      <c r="N791" s="7" t="n">
        <f aca="false">IFERROR(VALUE(SUBSTITUTE(G791,"$","")),0)</f>
        <v>24.08</v>
      </c>
      <c r="O791" s="4" t="n">
        <f aca="false">IF(A791="",0,IF(COUNTIF($A$2:A791,A791)&gt;1,1,0))</f>
        <v>0</v>
      </c>
      <c r="P791" s="4" t="n">
        <f aca="false">IF(AND(A791&lt;&gt;"",J791&lt;&gt;"",M791&gt;0,N791&gt;0,O791=0),1,0)</f>
        <v>1</v>
      </c>
      <c r="Q791" s="7" t="n">
        <f aca="false">IF(P791=1,M791*N791,0)</f>
        <v>24.08</v>
      </c>
    </row>
    <row r="792" customFormat="false" ht="15" hidden="false" customHeight="false" outlineLevel="0" collapsed="false">
      <c r="A792" s="4" t="n">
        <v>10129</v>
      </c>
      <c r="B792" s="4" t="s">
        <v>1212</v>
      </c>
      <c r="C792" s="4" t="s">
        <v>178</v>
      </c>
      <c r="D792" s="4" t="s">
        <v>101</v>
      </c>
      <c r="E792" s="4" t="s">
        <v>210</v>
      </c>
      <c r="F792" s="4" t="n">
        <v>4</v>
      </c>
      <c r="G792" s="4" t="s">
        <v>1785</v>
      </c>
      <c r="H792" s="4" t="s">
        <v>47</v>
      </c>
      <c r="I792" s="4" t="s">
        <v>1143</v>
      </c>
      <c r="J792" s="6" t="n">
        <f aca="false">IFERROR(DATEVALUE(B792),"")</f>
        <v>45435</v>
      </c>
      <c r="K792" s="4" t="str">
        <f aca="false">IF(A792="","",PROPER(TRIM(C792)))</f>
        <v>South</v>
      </c>
      <c r="L792" s="4" t="str">
        <f aca="false">IF(A792="","",PROPER(TRIM(D792)))</f>
        <v>Accessories</v>
      </c>
      <c r="M792" s="4" t="n">
        <f aca="false">IFERROR(VALUE(F792),0)</f>
        <v>4</v>
      </c>
      <c r="N792" s="7" t="n">
        <f aca="false">IFERROR(VALUE(SUBSTITUTE(G792,"$","")),0)</f>
        <v>39.26</v>
      </c>
      <c r="O792" s="4" t="n">
        <f aca="false">IF(A792="",0,IF(COUNTIF($A$2:A792,A792)&gt;1,1,0))</f>
        <v>0</v>
      </c>
      <c r="P792" s="4" t="n">
        <f aca="false">IF(AND(A792&lt;&gt;"",J792&lt;&gt;"",M792&gt;0,N792&gt;0,O792=0),1,0)</f>
        <v>1</v>
      </c>
      <c r="Q792" s="7" t="n">
        <f aca="false">IF(P792=1,M792*N792,0)</f>
        <v>157.04</v>
      </c>
    </row>
    <row r="793" customFormat="false" ht="15" hidden="false" customHeight="false" outlineLevel="0" collapsed="false">
      <c r="A793" s="4" t="n">
        <v>10649</v>
      </c>
      <c r="B793" s="4" t="s">
        <v>1417</v>
      </c>
      <c r="C793" s="4" t="s">
        <v>155</v>
      </c>
      <c r="D793" s="4" t="s">
        <v>124</v>
      </c>
      <c r="E793" s="4" t="s">
        <v>125</v>
      </c>
      <c r="F793" s="4" t="n">
        <v>4</v>
      </c>
      <c r="G793" s="4" t="s">
        <v>1786</v>
      </c>
      <c r="H793" s="4" t="s">
        <v>73</v>
      </c>
      <c r="I793" s="4" t="s">
        <v>849</v>
      </c>
      <c r="J793" s="6" t="n">
        <f aca="false">IFERROR(DATEVALUE(B793),"")</f>
        <v>45401</v>
      </c>
      <c r="K793" s="4" t="str">
        <f aca="false">IF(A793="","",PROPER(TRIM(C793)))</f>
        <v>South</v>
      </c>
      <c r="L793" s="4" t="str">
        <f aca="false">IF(A793="","",PROPER(TRIM(D793)))</f>
        <v>Climbing Gear</v>
      </c>
      <c r="M793" s="4" t="n">
        <f aca="false">IFERROR(VALUE(F793),0)</f>
        <v>4</v>
      </c>
      <c r="N793" s="7" t="n">
        <f aca="false">IFERROR(VALUE(SUBSTITUTE(G793,"$","")),0)</f>
        <v>106.84</v>
      </c>
      <c r="O793" s="4" t="n">
        <f aca="false">IF(A793="",0,IF(COUNTIF($A$2:A793,A793)&gt;1,1,0))</f>
        <v>0</v>
      </c>
      <c r="P793" s="4" t="n">
        <f aca="false">IF(AND(A793&lt;&gt;"",J793&lt;&gt;"",M793&gt;0,N793&gt;0,O793=0),1,0)</f>
        <v>1</v>
      </c>
      <c r="Q793" s="7" t="n">
        <f aca="false">IF(P793=1,M793*N793,0)</f>
        <v>427.36</v>
      </c>
    </row>
    <row r="794" customFormat="false" ht="15" hidden="false" customHeight="false" outlineLevel="0" collapsed="false">
      <c r="A794" s="4" t="n">
        <v>10670</v>
      </c>
      <c r="B794" s="4" t="s">
        <v>1615</v>
      </c>
      <c r="C794" s="4" t="s">
        <v>50</v>
      </c>
      <c r="D794" s="4" t="s">
        <v>70</v>
      </c>
      <c r="E794" s="4" t="s">
        <v>251</v>
      </c>
      <c r="F794" s="4" t="n">
        <v>4</v>
      </c>
      <c r="G794" s="4" t="s">
        <v>1787</v>
      </c>
      <c r="H794" s="4" t="s">
        <v>47</v>
      </c>
      <c r="I794" s="4" t="s">
        <v>1032</v>
      </c>
      <c r="J794" s="6" t="n">
        <f aca="false">IFERROR(DATEVALUE(B794),"")</f>
        <v>45621</v>
      </c>
      <c r="K794" s="4" t="str">
        <f aca="false">IF(A794="","",PROPER(TRIM(C794)))</f>
        <v>Midwest</v>
      </c>
      <c r="L794" s="4" t="str">
        <f aca="false">IF(A794="","",PROPER(TRIM(D794)))</f>
        <v>Camping Gear</v>
      </c>
      <c r="M794" s="4" t="n">
        <f aca="false">IFERROR(VALUE(F794),0)</f>
        <v>4</v>
      </c>
      <c r="N794" s="7" t="n">
        <f aca="false">IFERROR(VALUE(SUBSTITUTE(G794,"$","")),0)</f>
        <v>74.35</v>
      </c>
      <c r="O794" s="4" t="n">
        <f aca="false">IF(A794="",0,IF(COUNTIF($A$2:A794,A794)&gt;1,1,0))</f>
        <v>0</v>
      </c>
      <c r="P794" s="4" t="n">
        <f aca="false">IF(AND(A794&lt;&gt;"",J794&lt;&gt;"",M794&gt;0,N794&gt;0,O794=0),1,0)</f>
        <v>1</v>
      </c>
      <c r="Q794" s="7" t="n">
        <f aca="false">IF(P794=1,M794*N794,0)</f>
        <v>297.4</v>
      </c>
    </row>
    <row r="795" customFormat="false" ht="15" hidden="false" customHeight="false" outlineLevel="0" collapsed="false">
      <c r="A795" s="4" t="n">
        <v>10411</v>
      </c>
      <c r="B795" s="4" t="s">
        <v>1788</v>
      </c>
      <c r="C795" s="4" t="s">
        <v>105</v>
      </c>
      <c r="D795" s="4" t="s">
        <v>88</v>
      </c>
      <c r="E795" s="4" t="s">
        <v>89</v>
      </c>
      <c r="F795" s="4" t="n">
        <v>2</v>
      </c>
      <c r="G795" s="4" t="s">
        <v>1789</v>
      </c>
      <c r="H795" s="4" t="s">
        <v>47</v>
      </c>
      <c r="I795" s="4" t="s">
        <v>437</v>
      </c>
      <c r="J795" s="6" t="n">
        <f aca="false">IFERROR(DATEVALUE(B795),"")</f>
        <v>45574</v>
      </c>
      <c r="K795" s="4" t="str">
        <f aca="false">IF(A795="","",PROPER(TRIM(C795)))</f>
        <v>Midwest</v>
      </c>
      <c r="L795" s="4" t="str">
        <f aca="false">IF(A795="","",PROPER(TRIM(D795)))</f>
        <v>Apparel</v>
      </c>
      <c r="M795" s="4" t="n">
        <f aca="false">IFERROR(VALUE(F795),0)</f>
        <v>2</v>
      </c>
      <c r="N795" s="7" t="n">
        <f aca="false">IFERROR(VALUE(SUBSTITUTE(G795,"$","")),0)</f>
        <v>60.6</v>
      </c>
      <c r="O795" s="4" t="n">
        <f aca="false">IF(A795="",0,IF(COUNTIF($A$2:A795,A795)&gt;1,1,0))</f>
        <v>0</v>
      </c>
      <c r="P795" s="4" t="n">
        <f aca="false">IF(AND(A795&lt;&gt;"",J795&lt;&gt;"",M795&gt;0,N795&gt;0,O795=0),1,0)</f>
        <v>1</v>
      </c>
      <c r="Q795" s="7" t="n">
        <f aca="false">IF(P795=1,M795*N795,0)</f>
        <v>121.2</v>
      </c>
    </row>
    <row r="796" customFormat="false" ht="15" hidden="false" customHeight="false" outlineLevel="0" collapsed="false">
      <c r="A796" s="4" t="n">
        <v>10780</v>
      </c>
      <c r="B796" s="4" t="s">
        <v>537</v>
      </c>
      <c r="C796" s="4" t="s">
        <v>149</v>
      </c>
      <c r="D796" s="4" t="s">
        <v>250</v>
      </c>
      <c r="E796" s="4" t="s">
        <v>448</v>
      </c>
      <c r="F796" s="4" t="n">
        <v>2</v>
      </c>
      <c r="G796" s="4" t="s">
        <v>1790</v>
      </c>
      <c r="H796" s="4" t="s">
        <v>47</v>
      </c>
      <c r="I796" s="4" t="s">
        <v>1791</v>
      </c>
      <c r="J796" s="6" t="n">
        <f aca="false">IFERROR(DATEVALUE(B796),"")</f>
        <v>45831</v>
      </c>
      <c r="K796" s="4" t="str">
        <f aca="false">IF(A796="","",PROPER(TRIM(C796)))</f>
        <v>East</v>
      </c>
      <c r="L796" s="4" t="str">
        <f aca="false">IF(A796="","",PROPER(TRIM(D796)))</f>
        <v>Camping Gear</v>
      </c>
      <c r="M796" s="4" t="n">
        <f aca="false">IFERROR(VALUE(F796),0)</f>
        <v>2</v>
      </c>
      <c r="N796" s="7" t="n">
        <f aca="false">IFERROR(VALUE(SUBSTITUTE(G796,"$","")),0)</f>
        <v>183.22</v>
      </c>
      <c r="O796" s="4" t="n">
        <f aca="false">IF(A796="",0,IF(COUNTIF($A$2:A796,A796)&gt;1,1,0))</f>
        <v>0</v>
      </c>
      <c r="P796" s="4" t="n">
        <f aca="false">IF(AND(A796&lt;&gt;"",J796&lt;&gt;"",M796&gt;0,N796&gt;0,O796=0),1,0)</f>
        <v>1</v>
      </c>
      <c r="Q796" s="7" t="n">
        <f aca="false">IF(P796=1,M796*N796,0)</f>
        <v>366.44</v>
      </c>
    </row>
    <row r="797" customFormat="false" ht="15" hidden="false" customHeight="false" outlineLevel="0" collapsed="false">
      <c r="A797" s="4" t="n">
        <v>10283</v>
      </c>
      <c r="B797" s="4" t="s">
        <v>1792</v>
      </c>
      <c r="C797" s="4" t="s">
        <v>140</v>
      </c>
      <c r="D797" s="4" t="s">
        <v>156</v>
      </c>
      <c r="E797" s="4" t="s">
        <v>125</v>
      </c>
      <c r="F797" s="4" t="n">
        <v>3</v>
      </c>
      <c r="G797" s="4" t="s">
        <v>1793</v>
      </c>
      <c r="H797" s="4" t="s">
        <v>73</v>
      </c>
      <c r="I797" s="4" t="s">
        <v>728</v>
      </c>
      <c r="J797" s="6" t="n">
        <f aca="false">IFERROR(DATEVALUE(B797),"")</f>
        <v>45592</v>
      </c>
      <c r="K797" s="4" t="str">
        <f aca="false">IF(A797="","",PROPER(TRIM(C797)))</f>
        <v>South</v>
      </c>
      <c r="L797" s="4" t="str">
        <f aca="false">IF(A797="","",PROPER(TRIM(D797)))</f>
        <v>Climbing Gear</v>
      </c>
      <c r="M797" s="4" t="n">
        <f aca="false">IFERROR(VALUE(F797),0)</f>
        <v>3</v>
      </c>
      <c r="N797" s="7" t="n">
        <f aca="false">IFERROR(VALUE(SUBSTITUTE(G797,"$","")),0)</f>
        <v>89.76</v>
      </c>
      <c r="O797" s="4" t="n">
        <f aca="false">IF(A797="",0,IF(COUNTIF($A$2:A797,A797)&gt;1,1,0))</f>
        <v>0</v>
      </c>
      <c r="P797" s="4" t="n">
        <f aca="false">IF(AND(A797&lt;&gt;"",J797&lt;&gt;"",M797&gt;0,N797&gt;0,O797=0),1,0)</f>
        <v>1</v>
      </c>
      <c r="Q797" s="7" t="n">
        <f aca="false">IF(P797=1,M797*N797,0)</f>
        <v>269.28</v>
      </c>
    </row>
    <row r="798" customFormat="false" ht="15" hidden="false" customHeight="false" outlineLevel="0" collapsed="false">
      <c r="A798" s="4" t="n">
        <v>10519</v>
      </c>
      <c r="B798" s="4" t="s">
        <v>547</v>
      </c>
      <c r="C798" s="4" t="s">
        <v>57</v>
      </c>
      <c r="D798" s="4" t="s">
        <v>171</v>
      </c>
      <c r="E798" s="4" t="s">
        <v>71</v>
      </c>
      <c r="F798" s="4" t="n">
        <v>5</v>
      </c>
      <c r="G798" s="4" t="s">
        <v>1794</v>
      </c>
      <c r="H798" s="4" t="s">
        <v>47</v>
      </c>
      <c r="I798" s="4" t="s">
        <v>634</v>
      </c>
      <c r="J798" s="6" t="n">
        <f aca="false">IFERROR(DATEVALUE(B798),"")</f>
        <v>45421</v>
      </c>
      <c r="K798" s="4" t="str">
        <f aca="false">IF(A798="","",PROPER(TRIM(C798)))</f>
        <v>West</v>
      </c>
      <c r="L798" s="4" t="str">
        <f aca="false">IF(A798="","",PROPER(TRIM(D798)))</f>
        <v>Camping Gear</v>
      </c>
      <c r="M798" s="4" t="n">
        <f aca="false">IFERROR(VALUE(F798),0)</f>
        <v>5</v>
      </c>
      <c r="N798" s="7" t="n">
        <f aca="false">IFERROR(VALUE(SUBSTITUTE(G798,"$","")),0)</f>
        <v>69.04</v>
      </c>
      <c r="O798" s="4" t="n">
        <f aca="false">IF(A798="",0,IF(COUNTIF($A$2:A798,A798)&gt;1,1,0))</f>
        <v>0</v>
      </c>
      <c r="P798" s="4" t="n">
        <f aca="false">IF(AND(A798&lt;&gt;"",J798&lt;&gt;"",M798&gt;0,N798&gt;0,O798=0),1,0)</f>
        <v>1</v>
      </c>
      <c r="Q798" s="7" t="n">
        <f aca="false">IF(P798=1,M798*N798,0)</f>
        <v>345.2</v>
      </c>
    </row>
    <row r="799" customFormat="false" ht="15" hidden="false" customHeight="false" outlineLevel="0" collapsed="false">
      <c r="A799" s="4" t="n">
        <v>10507</v>
      </c>
      <c r="B799" s="4" t="s">
        <v>830</v>
      </c>
      <c r="C799" s="4" t="s">
        <v>178</v>
      </c>
      <c r="D799" s="4" t="s">
        <v>202</v>
      </c>
      <c r="E799" s="4" t="s">
        <v>448</v>
      </c>
      <c r="F799" s="4" t="n">
        <v>1</v>
      </c>
      <c r="G799" s="4" t="s">
        <v>1795</v>
      </c>
      <c r="H799" s="4" t="s">
        <v>73</v>
      </c>
      <c r="I799" s="4" t="s">
        <v>1408</v>
      </c>
      <c r="J799" s="6" t="n">
        <f aca="false">IFERROR(DATEVALUE(B799),"")</f>
        <v>45714</v>
      </c>
      <c r="K799" s="4" t="str">
        <f aca="false">IF(A799="","",PROPER(TRIM(C799)))</f>
        <v>South</v>
      </c>
      <c r="L799" s="4" t="str">
        <f aca="false">IF(A799="","",PROPER(TRIM(D799)))</f>
        <v>Camping Gear</v>
      </c>
      <c r="M799" s="4" t="n">
        <f aca="false">IFERROR(VALUE(F799),0)</f>
        <v>1</v>
      </c>
      <c r="N799" s="7" t="n">
        <f aca="false">IFERROR(VALUE(SUBSTITUTE(G799,"$","")),0)</f>
        <v>174.98</v>
      </c>
      <c r="O799" s="4" t="n">
        <f aca="false">IF(A799="",0,IF(COUNTIF($A$2:A799,A799)&gt;1,1,0))</f>
        <v>0</v>
      </c>
      <c r="P799" s="4" t="n">
        <f aca="false">IF(AND(A799&lt;&gt;"",J799&lt;&gt;"",M799&gt;0,N799&gt;0,O799=0),1,0)</f>
        <v>1</v>
      </c>
      <c r="Q799" s="7" t="n">
        <f aca="false">IF(P799=1,M799*N799,0)</f>
        <v>174.98</v>
      </c>
    </row>
    <row r="800" customFormat="false" ht="15" hidden="false" customHeight="false" outlineLevel="0" collapsed="false">
      <c r="A800" s="4" t="n">
        <v>10554</v>
      </c>
      <c r="B800" s="4" t="s">
        <v>136</v>
      </c>
      <c r="C800" s="4" t="s">
        <v>110</v>
      </c>
      <c r="D800" s="4" t="s">
        <v>179</v>
      </c>
      <c r="E800" s="4" t="s">
        <v>188</v>
      </c>
      <c r="F800" s="4" t="n">
        <v>1</v>
      </c>
      <c r="G800" s="4" t="s">
        <v>804</v>
      </c>
      <c r="H800" s="4" t="s">
        <v>73</v>
      </c>
      <c r="I800" s="4" t="s">
        <v>310</v>
      </c>
      <c r="J800" s="6" t="str">
        <f aca="false">IFERROR(DATEVALUE(B800),"")</f>
        <v/>
      </c>
      <c r="K800" s="4" t="str">
        <f aca="false">IF(A800="","",PROPER(TRIM(C800)))</f>
        <v>Midwest</v>
      </c>
      <c r="L800" s="4" t="str">
        <f aca="false">IF(A800="","",PROPER(TRIM(D800)))</f>
        <v>Climbing Gear</v>
      </c>
      <c r="M800" s="4" t="n">
        <f aca="false">IFERROR(VALUE(F800),0)</f>
        <v>1</v>
      </c>
      <c r="N800" s="7" t="n">
        <f aca="false">IFERROR(VALUE(SUBSTITUTE(G800,"$","")),0)</f>
        <v>18.63</v>
      </c>
      <c r="O800" s="4" t="n">
        <f aca="false">IF(A800="",0,IF(COUNTIF($A$2:A800,A800)&gt;1,1,0))</f>
        <v>1</v>
      </c>
      <c r="P800" s="4" t="n">
        <f aca="false">IF(AND(A800&lt;&gt;"",J800&lt;&gt;"",M800&gt;0,N800&gt;0,O800=0),1,0)</f>
        <v>0</v>
      </c>
      <c r="Q800" s="7" t="n">
        <f aca="false">IF(P800=1,M800*N800,0)</f>
        <v>0</v>
      </c>
    </row>
    <row r="801" customFormat="false" ht="15" hidden="false" customHeight="false" outlineLevel="0" collapsed="false">
      <c r="A801" s="4" t="n">
        <v>10114</v>
      </c>
      <c r="B801" s="4" t="s">
        <v>1796</v>
      </c>
      <c r="C801" s="4" t="s">
        <v>155</v>
      </c>
      <c r="D801" s="4" t="s">
        <v>106</v>
      </c>
      <c r="E801" s="4" t="s">
        <v>151</v>
      </c>
      <c r="F801" s="4" t="n">
        <v>1</v>
      </c>
      <c r="G801" s="4" t="s">
        <v>1797</v>
      </c>
      <c r="H801" s="4" t="s">
        <v>47</v>
      </c>
      <c r="I801" s="4" t="s">
        <v>452</v>
      </c>
      <c r="J801" s="6" t="n">
        <f aca="false">IFERROR(DATEVALUE(B801),"")</f>
        <v>45706</v>
      </c>
      <c r="K801" s="4" t="str">
        <f aca="false">IF(A801="","",PROPER(TRIM(C801)))</f>
        <v>South</v>
      </c>
      <c r="L801" s="4" t="str">
        <f aca="false">IF(A801="","",PROPER(TRIM(D801)))</f>
        <v>Footwear</v>
      </c>
      <c r="M801" s="4" t="n">
        <f aca="false">IFERROR(VALUE(F801),0)</f>
        <v>1</v>
      </c>
      <c r="N801" s="7" t="n">
        <f aca="false">IFERROR(VALUE(SUBSTITUTE(G801,"$","")),0)</f>
        <v>156.56</v>
      </c>
      <c r="O801" s="4" t="n">
        <f aca="false">IF(A801="",0,IF(COUNTIF($A$2:A801,A801)&gt;1,1,0))</f>
        <v>0</v>
      </c>
      <c r="P801" s="4" t="n">
        <f aca="false">IF(AND(A801&lt;&gt;"",J801&lt;&gt;"",M801&gt;0,N801&gt;0,O801=0),1,0)</f>
        <v>1</v>
      </c>
      <c r="Q801" s="7" t="n">
        <f aca="false">IF(P801=1,M801*N801,0)</f>
        <v>156.56</v>
      </c>
    </row>
    <row r="802" customFormat="false" ht="15" hidden="false" customHeight="false" outlineLevel="0" collapsed="false">
      <c r="A802" s="4" t="n">
        <v>10543</v>
      </c>
      <c r="B802" s="4" t="s">
        <v>361</v>
      </c>
      <c r="C802" s="4" t="s">
        <v>229</v>
      </c>
      <c r="D802" s="4" t="s">
        <v>150</v>
      </c>
      <c r="E802" s="4" t="s">
        <v>111</v>
      </c>
      <c r="F802" s="4" t="n">
        <v>2</v>
      </c>
      <c r="G802" s="4" t="s">
        <v>1798</v>
      </c>
      <c r="H802" s="4" t="s">
        <v>73</v>
      </c>
      <c r="I802" s="4" t="s">
        <v>476</v>
      </c>
      <c r="J802" s="6" t="n">
        <f aca="false">IFERROR(DATEVALUE(B802),"")</f>
        <v>45811</v>
      </c>
      <c r="K802" s="4" t="str">
        <f aca="false">IF(A802="","",PROPER(TRIM(C802)))</f>
        <v>Midwest</v>
      </c>
      <c r="L802" s="4" t="str">
        <f aca="false">IF(A802="","",PROPER(TRIM(D802)))</f>
        <v>Footwear</v>
      </c>
      <c r="M802" s="4" t="n">
        <f aca="false">IFERROR(VALUE(F802),0)</f>
        <v>2</v>
      </c>
      <c r="N802" s="7" t="n">
        <f aca="false">IFERROR(VALUE(SUBSTITUTE(G802,"$","")),0)</f>
        <v>81.45</v>
      </c>
      <c r="O802" s="4" t="n">
        <f aca="false">IF(A802="",0,IF(COUNTIF($A$2:A802,A802)&gt;1,1,0))</f>
        <v>0</v>
      </c>
      <c r="P802" s="4" t="n">
        <f aca="false">IF(AND(A802&lt;&gt;"",J802&lt;&gt;"",M802&gt;0,N802&gt;0,O802=0),1,0)</f>
        <v>1</v>
      </c>
      <c r="Q802" s="7" t="n">
        <f aca="false">IF(P802=1,M802*N802,0)</f>
        <v>162.9</v>
      </c>
    </row>
    <row r="803" customFormat="false" ht="15" hidden="false" customHeight="false" outlineLevel="0" collapsed="false">
      <c r="A803" s="4" t="n">
        <v>10674</v>
      </c>
      <c r="B803" s="4" t="s">
        <v>1799</v>
      </c>
      <c r="C803" s="4" t="s">
        <v>149</v>
      </c>
      <c r="D803" s="4" t="s">
        <v>64</v>
      </c>
      <c r="E803" s="4" t="s">
        <v>151</v>
      </c>
      <c r="F803" s="4" t="n">
        <v>1</v>
      </c>
      <c r="G803" s="4" t="s">
        <v>1800</v>
      </c>
      <c r="H803" s="4" t="s">
        <v>73</v>
      </c>
      <c r="I803" s="4" t="s">
        <v>1405</v>
      </c>
      <c r="J803" s="6" t="n">
        <f aca="false">IFERROR(DATEVALUE(B803),"")</f>
        <v>45647</v>
      </c>
      <c r="K803" s="4" t="str">
        <f aca="false">IF(A803="","",PROPER(TRIM(C803)))</f>
        <v>East</v>
      </c>
      <c r="L803" s="4" t="str">
        <f aca="false">IF(A803="","",PROPER(TRIM(D803)))</f>
        <v>Footwear</v>
      </c>
      <c r="M803" s="4" t="n">
        <f aca="false">IFERROR(VALUE(F803),0)</f>
        <v>1</v>
      </c>
      <c r="N803" s="7" t="n">
        <f aca="false">IFERROR(VALUE(SUBSTITUTE(G803,"$","")),0)</f>
        <v>139.37</v>
      </c>
      <c r="O803" s="4" t="n">
        <f aca="false">IF(A803="",0,IF(COUNTIF($A$2:A803,A803)&gt;1,1,0))</f>
        <v>0</v>
      </c>
      <c r="P803" s="4" t="n">
        <f aca="false">IF(AND(A803&lt;&gt;"",J803&lt;&gt;"",M803&gt;0,N803&gt;0,O803=0),1,0)</f>
        <v>1</v>
      </c>
      <c r="Q803" s="7" t="n">
        <f aca="false">IF(P803=1,M803*N803,0)</f>
        <v>139.37</v>
      </c>
    </row>
    <row r="804" customFormat="false" ht="15" hidden="false" customHeight="false" outlineLevel="0" collapsed="false">
      <c r="A804" s="4" t="n">
        <v>10001</v>
      </c>
      <c r="B804" s="4" t="s">
        <v>136</v>
      </c>
      <c r="C804" s="4" t="s">
        <v>321</v>
      </c>
      <c r="D804" s="4" t="s">
        <v>202</v>
      </c>
      <c r="E804" s="4" t="s">
        <v>448</v>
      </c>
      <c r="F804" s="4" t="n">
        <v>1</v>
      </c>
      <c r="G804" s="4" t="s">
        <v>1801</v>
      </c>
      <c r="H804" s="4" t="s">
        <v>54</v>
      </c>
      <c r="I804" s="4" t="s">
        <v>86</v>
      </c>
      <c r="J804" s="6" t="str">
        <f aca="false">IFERROR(DATEVALUE(B804),"")</f>
        <v/>
      </c>
      <c r="K804" s="4" t="str">
        <f aca="false">IF(A804="","",PROPER(TRIM(C804)))</f>
        <v>West</v>
      </c>
      <c r="L804" s="4" t="str">
        <f aca="false">IF(A804="","",PROPER(TRIM(D804)))</f>
        <v>Camping Gear</v>
      </c>
      <c r="M804" s="4" t="n">
        <f aca="false">IFERROR(VALUE(F804),0)</f>
        <v>1</v>
      </c>
      <c r="N804" s="7" t="n">
        <f aca="false">IFERROR(VALUE(SUBSTITUTE(G804,"$","")),0)</f>
        <v>189.74</v>
      </c>
      <c r="O804" s="4" t="n">
        <f aca="false">IF(A804="",0,IF(COUNTIF($A$2:A804,A804)&gt;1,1,0))</f>
        <v>0</v>
      </c>
      <c r="P804" s="4" t="n">
        <f aca="false">IF(AND(A804&lt;&gt;"",J804&lt;&gt;"",M804&gt;0,N804&gt;0,O804=0),1,0)</f>
        <v>0</v>
      </c>
      <c r="Q804" s="7" t="n">
        <f aca="false">IF(P804=1,M804*N804,0)</f>
        <v>0</v>
      </c>
    </row>
    <row r="805" customFormat="false" ht="15" hidden="false" customHeight="false" outlineLevel="0" collapsed="false">
      <c r="A805" s="4" t="n">
        <v>10176</v>
      </c>
      <c r="B805" s="4" t="s">
        <v>1802</v>
      </c>
      <c r="C805" s="4" t="s">
        <v>155</v>
      </c>
      <c r="D805" s="4" t="s">
        <v>387</v>
      </c>
      <c r="E805" s="4" t="s">
        <v>71</v>
      </c>
      <c r="F805" s="4" t="n">
        <v>1</v>
      </c>
      <c r="G805" s="4" t="s">
        <v>1803</v>
      </c>
      <c r="H805" s="4" t="s">
        <v>73</v>
      </c>
      <c r="I805" s="4" t="s">
        <v>1705</v>
      </c>
      <c r="J805" s="6" t="n">
        <f aca="false">IFERROR(DATEVALUE(B805),"")</f>
        <v>45792</v>
      </c>
      <c r="K805" s="4" t="str">
        <f aca="false">IF(A805="","",PROPER(TRIM(C805)))</f>
        <v>South</v>
      </c>
      <c r="L805" s="4" t="str">
        <f aca="false">IF(A805="","",PROPER(TRIM(D805)))</f>
        <v>Camping Gear</v>
      </c>
      <c r="M805" s="4" t="n">
        <f aca="false">IFERROR(VALUE(F805),0)</f>
        <v>1</v>
      </c>
      <c r="N805" s="7" t="n">
        <f aca="false">IFERROR(VALUE(SUBSTITUTE(G805,"$","")),0)</f>
        <v>60.26</v>
      </c>
      <c r="O805" s="4" t="n">
        <f aca="false">IF(A805="",0,IF(COUNTIF($A$2:A805,A805)&gt;1,1,0))</f>
        <v>0</v>
      </c>
      <c r="P805" s="4" t="n">
        <f aca="false">IF(AND(A805&lt;&gt;"",J805&lt;&gt;"",M805&gt;0,N805&gt;0,O805=0),1,0)</f>
        <v>1</v>
      </c>
      <c r="Q805" s="7" t="n">
        <f aca="false">IF(P805=1,M805*N805,0)</f>
        <v>60.26</v>
      </c>
    </row>
    <row r="806" customFormat="false" ht="15" hidden="false" customHeight="false" outlineLevel="0" collapsed="false">
      <c r="A806" s="4" t="n">
        <v>10340</v>
      </c>
      <c r="B806" s="4" t="s">
        <v>900</v>
      </c>
      <c r="C806" s="4" t="s">
        <v>110</v>
      </c>
      <c r="D806" s="4" t="s">
        <v>76</v>
      </c>
      <c r="E806" s="4" t="s">
        <v>77</v>
      </c>
      <c r="F806" s="4" t="n">
        <v>2</v>
      </c>
      <c r="G806" s="4" t="s">
        <v>1804</v>
      </c>
      <c r="H806" s="4" t="s">
        <v>54</v>
      </c>
      <c r="I806" s="4" t="s">
        <v>113</v>
      </c>
      <c r="J806" s="6" t="n">
        <f aca="false">IFERROR(DATEVALUE(B806),"")</f>
        <v>45780</v>
      </c>
      <c r="K806" s="4" t="str">
        <f aca="false">IF(A806="","",PROPER(TRIM(C806)))</f>
        <v>Midwest</v>
      </c>
      <c r="L806" s="4" t="str">
        <f aca="false">IF(A806="","",PROPER(TRIM(D806)))</f>
        <v>Footwear</v>
      </c>
      <c r="M806" s="4" t="n">
        <f aca="false">IFERROR(VALUE(F806),0)</f>
        <v>2</v>
      </c>
      <c r="N806" s="7" t="n">
        <f aca="false">IFERROR(VALUE(SUBSTITUTE(G806,"$","")),0)</f>
        <v>144.6</v>
      </c>
      <c r="O806" s="4" t="n">
        <f aca="false">IF(A806="",0,IF(COUNTIF($A$2:A806,A806)&gt;1,1,0))</f>
        <v>0</v>
      </c>
      <c r="P806" s="4" t="n">
        <f aca="false">IF(AND(A806&lt;&gt;"",J806&lt;&gt;"",M806&gt;0,N806&gt;0,O806=0),1,0)</f>
        <v>1</v>
      </c>
      <c r="Q806" s="7" t="n">
        <f aca="false">IF(P806=1,M806*N806,0)</f>
        <v>289.2</v>
      </c>
    </row>
    <row r="807" customFormat="false" ht="15" hidden="false" customHeight="false" outlineLevel="0" collapsed="false">
      <c r="A807" s="4" t="n">
        <v>10723</v>
      </c>
      <c r="B807" s="4" t="s">
        <v>1493</v>
      </c>
      <c r="C807" s="4" t="s">
        <v>541</v>
      </c>
      <c r="D807" s="4" t="s">
        <v>81</v>
      </c>
      <c r="E807" s="4" t="s">
        <v>151</v>
      </c>
      <c r="F807" s="4" t="n">
        <v>1</v>
      </c>
      <c r="G807" s="4" t="s">
        <v>1805</v>
      </c>
      <c r="H807" s="4" t="s">
        <v>47</v>
      </c>
      <c r="I807" s="4" t="s">
        <v>376</v>
      </c>
      <c r="J807" s="6" t="n">
        <f aca="false">IFERROR(DATEVALUE(B807),"")</f>
        <v>45448</v>
      </c>
      <c r="K807" s="4" t="str">
        <f aca="false">IF(A807="","",PROPER(TRIM(C807)))</f>
        <v>West</v>
      </c>
      <c r="L807" s="4" t="str">
        <f aca="false">IF(A807="","",PROPER(TRIM(D807)))</f>
        <v>Footwear</v>
      </c>
      <c r="M807" s="4" t="n">
        <f aca="false">IFERROR(VALUE(F807),0)</f>
        <v>1</v>
      </c>
      <c r="N807" s="7" t="n">
        <f aca="false">IFERROR(VALUE(SUBSTITUTE(G807,"$","")),0)</f>
        <v>151.22</v>
      </c>
      <c r="O807" s="4" t="n">
        <f aca="false">IF(A807="",0,IF(COUNTIF($A$2:A807,A807)&gt;1,1,0))</f>
        <v>0</v>
      </c>
      <c r="P807" s="4" t="n">
        <f aca="false">IF(AND(A807&lt;&gt;"",J807&lt;&gt;"",M807&gt;0,N807&gt;0,O807=0),1,0)</f>
        <v>1</v>
      </c>
      <c r="Q807" s="7" t="n">
        <f aca="false">IF(P807=1,M807*N807,0)</f>
        <v>151.22</v>
      </c>
    </row>
    <row r="809" customFormat="false" ht="15" hidden="false" customHeight="false" outlineLevel="0" collapsed="false">
      <c r="A809" s="4" t="n">
        <v>10082</v>
      </c>
      <c r="B809" s="4" t="s">
        <v>263</v>
      </c>
      <c r="C809" s="4" t="s">
        <v>140</v>
      </c>
      <c r="D809" s="4" t="s">
        <v>217</v>
      </c>
      <c r="E809" s="4" t="s">
        <v>116</v>
      </c>
      <c r="F809" s="4" t="n">
        <v>1</v>
      </c>
      <c r="G809" s="4" t="s">
        <v>264</v>
      </c>
      <c r="H809" s="4" t="s">
        <v>54</v>
      </c>
      <c r="I809" s="4" t="s">
        <v>265</v>
      </c>
      <c r="J809" s="6" t="n">
        <f aca="false">IFERROR(DATEVALUE(B809),"")</f>
        <v>45811</v>
      </c>
      <c r="K809" s="4" t="str">
        <f aca="false">IF(A809="","",PROPER(TRIM(C809)))</f>
        <v>South</v>
      </c>
      <c r="L809" s="4" t="str">
        <f aca="false">IF(A809="","",PROPER(TRIM(D809)))</f>
        <v>Apparel</v>
      </c>
      <c r="M809" s="4" t="n">
        <f aca="false">IFERROR(VALUE(F809),0)</f>
        <v>1</v>
      </c>
      <c r="N809" s="7" t="n">
        <f aca="false">IFERROR(VALUE(SUBSTITUTE(G809,"$","")),0)</f>
        <v>66.48</v>
      </c>
      <c r="O809" s="4" t="n">
        <f aca="false">IF(A809="",0,IF(COUNTIF($A$2:A809,A809)&gt;1,1,0))</f>
        <v>1</v>
      </c>
      <c r="P809" s="4" t="n">
        <f aca="false">IF(AND(A809&lt;&gt;"",J809&lt;&gt;"",M809&gt;0,N809&gt;0,O809=0),1,0)</f>
        <v>0</v>
      </c>
      <c r="Q809" s="7" t="n">
        <f aca="false">IF(P809=1,M809*N809,0)</f>
        <v>0</v>
      </c>
    </row>
    <row r="810" customFormat="false" ht="15" hidden="false" customHeight="false" outlineLevel="0" collapsed="false">
      <c r="A810" s="4" t="n">
        <v>10520</v>
      </c>
      <c r="B810" s="4" t="s">
        <v>1806</v>
      </c>
      <c r="C810" s="4" t="s">
        <v>155</v>
      </c>
      <c r="D810" s="4" t="s">
        <v>202</v>
      </c>
      <c r="E810" s="4" t="s">
        <v>448</v>
      </c>
      <c r="F810" s="4" t="n">
        <v>1</v>
      </c>
      <c r="G810" s="4" t="s">
        <v>1807</v>
      </c>
      <c r="H810" s="4" t="s">
        <v>73</v>
      </c>
      <c r="I810" s="4" t="s">
        <v>496</v>
      </c>
      <c r="J810" s="6" t="n">
        <f aca="false">IFERROR(DATEVALUE(B810),"")</f>
        <v>45430</v>
      </c>
      <c r="K810" s="4" t="str">
        <f aca="false">IF(A810="","",PROPER(TRIM(C810)))</f>
        <v>South</v>
      </c>
      <c r="L810" s="4" t="str">
        <f aca="false">IF(A810="","",PROPER(TRIM(D810)))</f>
        <v>Camping Gear</v>
      </c>
      <c r="M810" s="4" t="n">
        <f aca="false">IFERROR(VALUE(F810),0)</f>
        <v>1</v>
      </c>
      <c r="N810" s="7" t="n">
        <f aca="false">IFERROR(VALUE(SUBSTITUTE(G810,"$","")),0)</f>
        <v>211.66</v>
      </c>
      <c r="O810" s="4" t="n">
        <f aca="false">IF(A810="",0,IF(COUNTIF($A$2:A810,A810)&gt;1,1,0))</f>
        <v>0</v>
      </c>
      <c r="P810" s="4" t="n">
        <f aca="false">IF(AND(A810&lt;&gt;"",J810&lt;&gt;"",M810&gt;0,N810&gt;0,O810=0),1,0)</f>
        <v>1</v>
      </c>
      <c r="Q810" s="7" t="n">
        <f aca="false">IF(P810=1,M810*N810,0)</f>
        <v>211.66</v>
      </c>
    </row>
    <row r="811" customFormat="false" ht="15" hidden="false" customHeight="false" outlineLevel="0" collapsed="false">
      <c r="A811" s="4" t="n">
        <v>10595</v>
      </c>
      <c r="B811" s="4" t="s">
        <v>1808</v>
      </c>
      <c r="C811" s="4" t="s">
        <v>110</v>
      </c>
      <c r="D811" s="4" t="s">
        <v>58</v>
      </c>
      <c r="E811" s="4" t="s">
        <v>94</v>
      </c>
      <c r="F811" s="4" t="n">
        <v>3</v>
      </c>
      <c r="G811" s="4" t="s">
        <v>1809</v>
      </c>
      <c r="H811" s="4" t="s">
        <v>54</v>
      </c>
      <c r="I811" s="4" t="s">
        <v>1507</v>
      </c>
      <c r="J811" s="6" t="n">
        <f aca="false">IFERROR(DATEVALUE(B811),"")</f>
        <v>45423</v>
      </c>
      <c r="K811" s="4" t="str">
        <f aca="false">IF(A811="","",PROPER(TRIM(C811)))</f>
        <v>Midwest</v>
      </c>
      <c r="L811" s="4" t="str">
        <f aca="false">IF(A811="","",PROPER(TRIM(D811)))</f>
        <v>Climbing Gear</v>
      </c>
      <c r="M811" s="4" t="n">
        <f aca="false">IFERROR(VALUE(F811),0)</f>
        <v>3</v>
      </c>
      <c r="N811" s="7" t="n">
        <f aca="false">IFERROR(VALUE(SUBSTITUTE(G811,"$","")),0)</f>
        <v>154.64</v>
      </c>
      <c r="O811" s="4" t="n">
        <f aca="false">IF(A811="",0,IF(COUNTIF($A$2:A811,A811)&gt;1,1,0))</f>
        <v>0</v>
      </c>
      <c r="P811" s="4" t="n">
        <f aca="false">IF(AND(A811&lt;&gt;"",J811&lt;&gt;"",M811&gt;0,N811&gt;0,O811=0),1,0)</f>
        <v>1</v>
      </c>
      <c r="Q811" s="7" t="n">
        <f aca="false">IF(P811=1,M811*N811,0)</f>
        <v>463.92</v>
      </c>
    </row>
    <row r="812" customFormat="false" ht="15" hidden="false" customHeight="false" outlineLevel="0" collapsed="false">
      <c r="A812" s="4" t="n">
        <v>10728</v>
      </c>
      <c r="B812" s="4" t="s">
        <v>734</v>
      </c>
      <c r="C812" s="4" t="s">
        <v>155</v>
      </c>
      <c r="D812" s="4" t="s">
        <v>438</v>
      </c>
      <c r="E812" s="4" t="s">
        <v>151</v>
      </c>
      <c r="F812" s="4" t="n">
        <v>2</v>
      </c>
      <c r="G812" s="4" t="s">
        <v>1810</v>
      </c>
      <c r="H812" s="4" t="s">
        <v>47</v>
      </c>
      <c r="I812" s="4" t="s">
        <v>1811</v>
      </c>
      <c r="J812" s="6" t="n">
        <f aca="false">IFERROR(DATEVALUE(B812),"")</f>
        <v>45604</v>
      </c>
      <c r="K812" s="4" t="str">
        <f aca="false">IF(A812="","",PROPER(TRIM(C812)))</f>
        <v>South</v>
      </c>
      <c r="L812" s="4" t="str">
        <f aca="false">IF(A812="","",PROPER(TRIM(D812)))</f>
        <v>Footwear</v>
      </c>
      <c r="M812" s="4" t="n">
        <f aca="false">IFERROR(VALUE(F812),0)</f>
        <v>2</v>
      </c>
      <c r="N812" s="7" t="n">
        <f aca="false">IFERROR(VALUE(SUBSTITUTE(G812,"$","")),0)</f>
        <v>166.02</v>
      </c>
      <c r="O812" s="4" t="n">
        <f aca="false">IF(A812="",0,IF(COUNTIF($A$2:A812,A812)&gt;1,1,0))</f>
        <v>0</v>
      </c>
      <c r="P812" s="4" t="n">
        <f aca="false">IF(AND(A812&lt;&gt;"",J812&lt;&gt;"",M812&gt;0,N812&gt;0,O812=0),1,0)</f>
        <v>1</v>
      </c>
      <c r="Q812" s="7" t="n">
        <f aca="false">IF(P812=1,M812*N812,0)</f>
        <v>332.04</v>
      </c>
    </row>
    <row r="813" customFormat="false" ht="15" hidden="false" customHeight="false" outlineLevel="0" collapsed="false">
      <c r="A813" s="4" t="n">
        <v>10687</v>
      </c>
      <c r="B813" s="4" t="s">
        <v>1667</v>
      </c>
      <c r="C813" s="4" t="s">
        <v>178</v>
      </c>
      <c r="D813" s="4" t="s">
        <v>156</v>
      </c>
      <c r="E813" s="4" t="s">
        <v>188</v>
      </c>
      <c r="F813" s="4" t="n">
        <v>3</v>
      </c>
      <c r="G813" s="4" t="s">
        <v>1812</v>
      </c>
      <c r="H813" s="4" t="s">
        <v>47</v>
      </c>
      <c r="I813" s="4" t="s">
        <v>407</v>
      </c>
      <c r="J813" s="6" t="n">
        <f aca="false">IFERROR(DATEVALUE(B813),"")</f>
        <v>45747</v>
      </c>
      <c r="K813" s="4" t="str">
        <f aca="false">IF(A813="","",PROPER(TRIM(C813)))</f>
        <v>South</v>
      </c>
      <c r="L813" s="4" t="str">
        <f aca="false">IF(A813="","",PROPER(TRIM(D813)))</f>
        <v>Climbing Gear</v>
      </c>
      <c r="M813" s="4" t="n">
        <f aca="false">IFERROR(VALUE(F813),0)</f>
        <v>3</v>
      </c>
      <c r="N813" s="7" t="n">
        <f aca="false">IFERROR(VALUE(SUBSTITUTE(G813,"$","")),0)</f>
        <v>22.8</v>
      </c>
      <c r="O813" s="4" t="n">
        <f aca="false">IF(A813="",0,IF(COUNTIF($A$2:A813,A813)&gt;1,1,0))</f>
        <v>0</v>
      </c>
      <c r="P813" s="4" t="n">
        <f aca="false">IF(AND(A813&lt;&gt;"",J813&lt;&gt;"",M813&gt;0,N813&gt;0,O813=0),1,0)</f>
        <v>1</v>
      </c>
      <c r="Q813" s="7" t="n">
        <f aca="false">IF(P813=1,M813*N813,0)</f>
        <v>68.4</v>
      </c>
    </row>
    <row r="814" customFormat="false" ht="15" hidden="false" customHeight="false" outlineLevel="0" collapsed="false">
      <c r="A814" s="4" t="n">
        <v>10272</v>
      </c>
      <c r="B814" s="4" t="s">
        <v>1813</v>
      </c>
      <c r="C814" s="4" t="s">
        <v>105</v>
      </c>
      <c r="D814" s="4" t="s">
        <v>171</v>
      </c>
      <c r="E814" s="4" t="s">
        <v>251</v>
      </c>
      <c r="F814" s="4" t="n">
        <v>2</v>
      </c>
      <c r="G814" s="4" t="s">
        <v>1814</v>
      </c>
      <c r="H814" s="4" t="s">
        <v>73</v>
      </c>
      <c r="I814" s="4" t="s">
        <v>819</v>
      </c>
      <c r="J814" s="6" t="n">
        <f aca="false">IFERROR(DATEVALUE(B814),"")</f>
        <v>45376</v>
      </c>
      <c r="K814" s="4" t="str">
        <f aca="false">IF(A814="","",PROPER(TRIM(C814)))</f>
        <v>Midwest</v>
      </c>
      <c r="L814" s="4" t="str">
        <f aca="false">IF(A814="","",PROPER(TRIM(D814)))</f>
        <v>Camping Gear</v>
      </c>
      <c r="M814" s="4" t="n">
        <f aca="false">IFERROR(VALUE(F814),0)</f>
        <v>2</v>
      </c>
      <c r="N814" s="7" t="n">
        <f aca="false">IFERROR(VALUE(SUBSTITUTE(G814,"$","")),0)</f>
        <v>81.71</v>
      </c>
      <c r="O814" s="4" t="n">
        <f aca="false">IF(A814="",0,IF(COUNTIF($A$2:A814,A814)&gt;1,1,0))</f>
        <v>0</v>
      </c>
      <c r="P814" s="4" t="n">
        <f aca="false">IF(AND(A814&lt;&gt;"",J814&lt;&gt;"",M814&gt;0,N814&gt;0,O814=0),1,0)</f>
        <v>1</v>
      </c>
      <c r="Q814" s="7" t="n">
        <f aca="false">IF(P814=1,M814*N814,0)</f>
        <v>163.42</v>
      </c>
    </row>
    <row r="815" customFormat="false" ht="15" hidden="false" customHeight="false" outlineLevel="0" collapsed="false">
      <c r="A815" s="4" t="n">
        <v>10204</v>
      </c>
      <c r="B815" s="4" t="s">
        <v>1815</v>
      </c>
      <c r="C815" s="4" t="s">
        <v>140</v>
      </c>
      <c r="D815" s="4" t="s">
        <v>44</v>
      </c>
      <c r="E815" s="4" t="s">
        <v>210</v>
      </c>
      <c r="F815" s="4" t="n">
        <v>2</v>
      </c>
      <c r="G815" s="4" t="s">
        <v>1816</v>
      </c>
      <c r="H815" s="4" t="s">
        <v>47</v>
      </c>
      <c r="I815" s="4" t="s">
        <v>1023</v>
      </c>
      <c r="J815" s="6" t="n">
        <f aca="false">IFERROR(DATEVALUE(B815),"")</f>
        <v>45301</v>
      </c>
      <c r="K815" s="4" t="str">
        <f aca="false">IF(A815="","",PROPER(TRIM(C815)))</f>
        <v>South</v>
      </c>
      <c r="L815" s="4" t="str">
        <f aca="false">IF(A815="","",PROPER(TRIM(D815)))</f>
        <v>Accessories</v>
      </c>
      <c r="M815" s="4" t="n">
        <f aca="false">IFERROR(VALUE(F815),0)</f>
        <v>2</v>
      </c>
      <c r="N815" s="7" t="n">
        <f aca="false">IFERROR(VALUE(SUBSTITUTE(G815,"$","")),0)</f>
        <v>32.64</v>
      </c>
      <c r="O815" s="4" t="n">
        <f aca="false">IF(A815="",0,IF(COUNTIF($A$2:A815,A815)&gt;1,1,0))</f>
        <v>0</v>
      </c>
      <c r="P815" s="4" t="n">
        <f aca="false">IF(AND(A815&lt;&gt;"",J815&lt;&gt;"",M815&gt;0,N815&gt;0,O815=0),1,0)</f>
        <v>1</v>
      </c>
      <c r="Q815" s="7" t="n">
        <f aca="false">IF(P815=1,M815*N815,0)</f>
        <v>65.28</v>
      </c>
    </row>
    <row r="816" customFormat="false" ht="15" hidden="false" customHeight="false" outlineLevel="0" collapsed="false">
      <c r="A816" s="4" t="n">
        <v>10146</v>
      </c>
      <c r="B816" s="4" t="s">
        <v>1780</v>
      </c>
      <c r="C816" s="4" t="s">
        <v>541</v>
      </c>
      <c r="D816" s="4" t="s">
        <v>141</v>
      </c>
      <c r="E816" s="4" t="s">
        <v>116</v>
      </c>
      <c r="F816" s="4" t="n">
        <v>0</v>
      </c>
      <c r="G816" s="4" t="s">
        <v>1817</v>
      </c>
      <c r="H816" s="4" t="s">
        <v>73</v>
      </c>
      <c r="I816" s="4" t="s">
        <v>499</v>
      </c>
      <c r="J816" s="6" t="n">
        <f aca="false">IFERROR(DATEVALUE(B816),"")</f>
        <v>45697</v>
      </c>
      <c r="K816" s="4" t="str">
        <f aca="false">IF(A816="","",PROPER(TRIM(C816)))</f>
        <v>West</v>
      </c>
      <c r="L816" s="4" t="str">
        <f aca="false">IF(A816="","",PROPER(TRIM(D816)))</f>
        <v>Apparel</v>
      </c>
      <c r="M816" s="4" t="n">
        <f aca="false">IFERROR(VALUE(F816),0)</f>
        <v>0</v>
      </c>
      <c r="N816" s="7" t="n">
        <f aca="false">IFERROR(VALUE(SUBSTITUTE(G816,"$","")),0)</f>
        <v>79.96</v>
      </c>
      <c r="O816" s="4" t="n">
        <f aca="false">IF(A816="",0,IF(COUNTIF($A$2:A816,A816)&gt;1,1,0))</f>
        <v>0</v>
      </c>
      <c r="P816" s="4" t="n">
        <f aca="false">IF(AND(A816&lt;&gt;"",J816&lt;&gt;"",M816&gt;0,N816&gt;0,O816=0),1,0)</f>
        <v>0</v>
      </c>
      <c r="Q816" s="7" t="n">
        <f aca="false">IF(P816=1,M816*N816,0)</f>
        <v>0</v>
      </c>
    </row>
    <row r="817" customFormat="false" ht="15" hidden="false" customHeight="false" outlineLevel="0" collapsed="false">
      <c r="A817" s="4" t="n">
        <v>10750</v>
      </c>
      <c r="B817" s="4" t="s">
        <v>571</v>
      </c>
      <c r="C817" s="4" t="s">
        <v>541</v>
      </c>
      <c r="D817" s="4" t="s">
        <v>179</v>
      </c>
      <c r="E817" s="4" t="s">
        <v>59</v>
      </c>
      <c r="F817" s="4" t="n">
        <v>1</v>
      </c>
      <c r="G817" s="4" t="s">
        <v>1818</v>
      </c>
      <c r="H817" s="4" t="s">
        <v>47</v>
      </c>
      <c r="I817" s="4" t="s">
        <v>534</v>
      </c>
      <c r="J817" s="6" t="n">
        <f aca="false">IFERROR(DATEVALUE(B817),"")</f>
        <v>45520</v>
      </c>
      <c r="K817" s="4" t="str">
        <f aca="false">IF(A817="","",PROPER(TRIM(C817)))</f>
        <v>West</v>
      </c>
      <c r="L817" s="4" t="str">
        <f aca="false">IF(A817="","",PROPER(TRIM(D817)))</f>
        <v>Climbing Gear</v>
      </c>
      <c r="M817" s="4" t="n">
        <f aca="false">IFERROR(VALUE(F817),0)</f>
        <v>1</v>
      </c>
      <c r="N817" s="7" t="n">
        <f aca="false">IFERROR(VALUE(SUBSTITUTE(G817,"$","")),0)</f>
        <v>37.83</v>
      </c>
      <c r="O817" s="4" t="n">
        <f aca="false">IF(A817="",0,IF(COUNTIF($A$2:A817,A817)&gt;1,1,0))</f>
        <v>0</v>
      </c>
      <c r="P817" s="4" t="n">
        <f aca="false">IF(AND(A817&lt;&gt;"",J817&lt;&gt;"",M817&gt;0,N817&gt;0,O817=0),1,0)</f>
        <v>1</v>
      </c>
      <c r="Q817" s="7" t="n">
        <f aca="false">IF(P817=1,M817*N817,0)</f>
        <v>37.83</v>
      </c>
    </row>
    <row r="818" customFormat="false" ht="15" hidden="false" customHeight="false" outlineLevel="0" collapsed="false">
      <c r="A818" s="4" t="n">
        <v>10508</v>
      </c>
      <c r="B818" s="4" t="s">
        <v>1562</v>
      </c>
      <c r="C818" s="4" t="s">
        <v>133</v>
      </c>
      <c r="D818" s="4" t="s">
        <v>575</v>
      </c>
      <c r="E818" s="4" t="s">
        <v>52</v>
      </c>
      <c r="F818" s="4" t="n">
        <v>1</v>
      </c>
      <c r="G818" s="4" t="s">
        <v>1819</v>
      </c>
      <c r="H818" s="4" t="s">
        <v>47</v>
      </c>
      <c r="I818" s="4" t="s">
        <v>961</v>
      </c>
      <c r="J818" s="6" t="n">
        <f aca="false">IFERROR(DATEVALUE(B818),"")</f>
        <v>45520</v>
      </c>
      <c r="K818" s="4" t="str">
        <f aca="false">IF(A818="","",PROPER(TRIM(C818)))</f>
        <v>East</v>
      </c>
      <c r="L818" s="4" t="str">
        <f aca="false">IF(A818="","",PROPER(TRIM(D818)))</f>
        <v>Accessories</v>
      </c>
      <c r="M818" s="4" t="n">
        <f aca="false">IFERROR(VALUE(F818),0)</f>
        <v>1</v>
      </c>
      <c r="N818" s="7" t="n">
        <f aca="false">IFERROR(VALUE(SUBSTITUTE(G818,"$","")),0)</f>
        <v>83.47</v>
      </c>
      <c r="O818" s="4" t="n">
        <f aca="false">IF(A818="",0,IF(COUNTIF($A$2:A818,A818)&gt;1,1,0))</f>
        <v>0</v>
      </c>
      <c r="P818" s="4" t="n">
        <f aca="false">IF(AND(A818&lt;&gt;"",J818&lt;&gt;"",M818&gt;0,N818&gt;0,O818=0),1,0)</f>
        <v>1</v>
      </c>
      <c r="Q818" s="7" t="n">
        <f aca="false">IF(P818=1,M818*N818,0)</f>
        <v>83.47</v>
      </c>
    </row>
    <row r="819" customFormat="false" ht="15" hidden="false" customHeight="false" outlineLevel="0" collapsed="false">
      <c r="A819" s="4" t="n">
        <v>10757</v>
      </c>
      <c r="B819" s="4" t="s">
        <v>1820</v>
      </c>
      <c r="C819" s="4" t="s">
        <v>315</v>
      </c>
      <c r="D819" s="4" t="s">
        <v>217</v>
      </c>
      <c r="E819" s="4" t="s">
        <v>142</v>
      </c>
      <c r="F819" s="4" t="n">
        <v>2</v>
      </c>
      <c r="G819" s="4" t="s">
        <v>1821</v>
      </c>
      <c r="H819" s="4" t="s">
        <v>54</v>
      </c>
      <c r="I819" s="4" t="s">
        <v>1026</v>
      </c>
      <c r="J819" s="6" t="n">
        <f aca="false">IFERROR(DATEVALUE(B819),"")</f>
        <v>45580</v>
      </c>
      <c r="K819" s="4" t="str">
        <f aca="false">IF(A819="","",PROPER(TRIM(C819)))</f>
        <v>South</v>
      </c>
      <c r="L819" s="4" t="str">
        <f aca="false">IF(A819="","",PROPER(TRIM(D819)))</f>
        <v>Apparel</v>
      </c>
      <c r="M819" s="4" t="n">
        <f aca="false">IFERROR(VALUE(F819),0)</f>
        <v>2</v>
      </c>
      <c r="N819" s="7" t="n">
        <f aca="false">IFERROR(VALUE(SUBSTITUTE(G819,"$","")),0)</f>
        <v>196.46</v>
      </c>
      <c r="O819" s="4" t="n">
        <f aca="false">IF(A819="",0,IF(COUNTIF($A$2:A819,A819)&gt;1,1,0))</f>
        <v>0</v>
      </c>
      <c r="P819" s="4" t="n">
        <f aca="false">IF(AND(A819&lt;&gt;"",J819&lt;&gt;"",M819&gt;0,N819&gt;0,O819=0),1,0)</f>
        <v>1</v>
      </c>
      <c r="Q819" s="7" t="n">
        <f aca="false">IF(P819=1,M819*N819,0)</f>
        <v>392.92</v>
      </c>
    </row>
    <row r="820" customFormat="false" ht="15" hidden="false" customHeight="false" outlineLevel="0" collapsed="false">
      <c r="A820" s="4" t="n">
        <v>10115</v>
      </c>
      <c r="B820" s="4" t="s">
        <v>1723</v>
      </c>
      <c r="C820" s="4" t="s">
        <v>140</v>
      </c>
      <c r="D820" s="4" t="s">
        <v>179</v>
      </c>
      <c r="E820" s="4" t="s">
        <v>94</v>
      </c>
      <c r="F820" s="4" t="n">
        <v>1</v>
      </c>
      <c r="G820" s="4" t="s">
        <v>1822</v>
      </c>
      <c r="H820" s="4" t="s">
        <v>47</v>
      </c>
      <c r="I820" s="4" t="s">
        <v>1066</v>
      </c>
      <c r="J820" s="6" t="n">
        <f aca="false">IFERROR(DATEVALUE(B820),"")</f>
        <v>45307</v>
      </c>
      <c r="K820" s="4" t="str">
        <f aca="false">IF(A820="","",PROPER(TRIM(C820)))</f>
        <v>South</v>
      </c>
      <c r="L820" s="4" t="str">
        <f aca="false">IF(A820="","",PROPER(TRIM(D820)))</f>
        <v>Climbing Gear</v>
      </c>
      <c r="M820" s="4" t="n">
        <f aca="false">IFERROR(VALUE(F820),0)</f>
        <v>1</v>
      </c>
      <c r="N820" s="7" t="n">
        <f aca="false">IFERROR(VALUE(SUBSTITUTE(G820,"$","")),0)</f>
        <v>179.82</v>
      </c>
      <c r="O820" s="4" t="n">
        <f aca="false">IF(A820="",0,IF(COUNTIF($A$2:A820,A820)&gt;1,1,0))</f>
        <v>0</v>
      </c>
      <c r="P820" s="4" t="n">
        <f aca="false">IF(AND(A820&lt;&gt;"",J820&lt;&gt;"",M820&gt;0,N820&gt;0,O820=0),1,0)</f>
        <v>1</v>
      </c>
      <c r="Q820" s="7" t="n">
        <f aca="false">IF(P820=1,M820*N820,0)</f>
        <v>179.82</v>
      </c>
    </row>
    <row r="821" customFormat="false" ht="15" hidden="false" customHeight="false" outlineLevel="0" collapsed="false">
      <c r="A821" s="4" t="n">
        <v>10194</v>
      </c>
      <c r="B821" s="4" t="s">
        <v>902</v>
      </c>
      <c r="C821" s="4" t="s">
        <v>63</v>
      </c>
      <c r="D821" s="4" t="s">
        <v>217</v>
      </c>
      <c r="E821" s="4" t="s">
        <v>243</v>
      </c>
      <c r="F821" s="4" t="n">
        <v>2</v>
      </c>
      <c r="G821" s="4" t="s">
        <v>1245</v>
      </c>
      <c r="H821" s="4" t="s">
        <v>73</v>
      </c>
      <c r="I821" s="4" t="s">
        <v>1823</v>
      </c>
      <c r="J821" s="6" t="n">
        <f aca="false">IFERROR(DATEVALUE(B821),"")</f>
        <v>45357</v>
      </c>
      <c r="K821" s="4" t="str">
        <f aca="false">IF(A821="","",PROPER(TRIM(C821)))</f>
        <v>Midwest</v>
      </c>
      <c r="L821" s="4" t="str">
        <f aca="false">IF(A821="","",PROPER(TRIM(D821)))</f>
        <v>Apparel</v>
      </c>
      <c r="M821" s="4" t="n">
        <f aca="false">IFERROR(VALUE(F821),0)</f>
        <v>2</v>
      </c>
      <c r="N821" s="7" t="n">
        <f aca="false">IFERROR(VALUE(SUBSTITUTE(G821,"$","")),0)</f>
        <v>74.7</v>
      </c>
      <c r="O821" s="4" t="n">
        <f aca="false">IF(A821="",0,IF(COUNTIF($A$2:A821,A821)&gt;1,1,0))</f>
        <v>0</v>
      </c>
      <c r="P821" s="4" t="n">
        <f aca="false">IF(AND(A821&lt;&gt;"",J821&lt;&gt;"",M821&gt;0,N821&gt;0,O821=0),1,0)</f>
        <v>1</v>
      </c>
      <c r="Q821" s="7" t="n">
        <f aca="false">IF(P821=1,M821*N821,0)</f>
        <v>149.4</v>
      </c>
    </row>
    <row r="822" customFormat="false" ht="15" hidden="false" customHeight="false" outlineLevel="0" collapsed="false">
      <c r="A822" s="4" t="n">
        <v>10654</v>
      </c>
      <c r="B822" s="4" t="s">
        <v>1824</v>
      </c>
      <c r="C822" s="4" t="s">
        <v>93</v>
      </c>
      <c r="D822" s="4" t="s">
        <v>602</v>
      </c>
      <c r="E822" s="4" t="s">
        <v>188</v>
      </c>
      <c r="F822" s="4" t="n">
        <v>2</v>
      </c>
      <c r="G822" s="4" t="s">
        <v>1825</v>
      </c>
      <c r="H822" s="4" t="s">
        <v>54</v>
      </c>
      <c r="I822" s="4" t="s">
        <v>289</v>
      </c>
      <c r="J822" s="6" t="n">
        <f aca="false">IFERROR(DATEVALUE(B822),"")</f>
        <v>45548</v>
      </c>
      <c r="K822" s="4" t="str">
        <f aca="false">IF(A822="","",PROPER(TRIM(C822)))</f>
        <v>West</v>
      </c>
      <c r="L822" s="4" t="str">
        <f aca="false">IF(A822="","",PROPER(TRIM(D822)))</f>
        <v>Climbing Gear</v>
      </c>
      <c r="M822" s="4" t="n">
        <f aca="false">IFERROR(VALUE(F822),0)</f>
        <v>2</v>
      </c>
      <c r="N822" s="7" t="n">
        <f aca="false">IFERROR(VALUE(SUBSTITUTE(G822,"$","")),0)</f>
        <v>21.93</v>
      </c>
      <c r="O822" s="4" t="n">
        <f aca="false">IF(A822="",0,IF(COUNTIF($A$2:A822,A822)&gt;1,1,0))</f>
        <v>0</v>
      </c>
      <c r="P822" s="4" t="n">
        <f aca="false">IF(AND(A822&lt;&gt;"",J822&lt;&gt;"",M822&gt;0,N822&gt;0,O822=0),1,0)</f>
        <v>1</v>
      </c>
      <c r="Q822" s="7" t="n">
        <f aca="false">IF(P822=1,M822*N822,0)</f>
        <v>43.86</v>
      </c>
    </row>
    <row r="823" customFormat="false" ht="15" hidden="false" customHeight="false" outlineLevel="0" collapsed="false">
      <c r="A823" s="4" t="n">
        <v>10158</v>
      </c>
      <c r="B823" s="4" t="s">
        <v>1826</v>
      </c>
      <c r="C823" s="4" t="s">
        <v>541</v>
      </c>
      <c r="D823" s="4" t="s">
        <v>602</v>
      </c>
      <c r="E823" s="4" t="s">
        <v>188</v>
      </c>
      <c r="F823" s="4" t="n">
        <v>3</v>
      </c>
      <c r="G823" s="4" t="s">
        <v>1827</v>
      </c>
      <c r="H823" s="4" t="s">
        <v>54</v>
      </c>
      <c r="I823" s="4" t="s">
        <v>496</v>
      </c>
      <c r="J823" s="6" t="n">
        <f aca="false">IFERROR(DATEVALUE(B823),"")</f>
        <v>45355</v>
      </c>
      <c r="K823" s="4" t="str">
        <f aca="false">IF(A823="","",PROPER(TRIM(C823)))</f>
        <v>West</v>
      </c>
      <c r="L823" s="4" t="str">
        <f aca="false">IF(A823="","",PROPER(TRIM(D823)))</f>
        <v>Climbing Gear</v>
      </c>
      <c r="M823" s="4" t="n">
        <f aca="false">IFERROR(VALUE(F823),0)</f>
        <v>3</v>
      </c>
      <c r="N823" s="7" t="n">
        <f aca="false">IFERROR(VALUE(SUBSTITUTE(G823,"$","")),0)</f>
        <v>21.05</v>
      </c>
      <c r="O823" s="4" t="n">
        <f aca="false">IF(A823="",0,IF(COUNTIF($A$2:A823,A823)&gt;1,1,0))</f>
        <v>0</v>
      </c>
      <c r="P823" s="4" t="n">
        <f aca="false">IF(AND(A823&lt;&gt;"",J823&lt;&gt;"",M823&gt;0,N823&gt;0,O823=0),1,0)</f>
        <v>1</v>
      </c>
      <c r="Q823" s="7" t="n">
        <f aca="false">IF(P823=1,M823*N823,0)</f>
        <v>63.15</v>
      </c>
    </row>
    <row r="824" customFormat="false" ht="15" hidden="false" customHeight="false" outlineLevel="0" collapsed="false">
      <c r="A824" s="4" t="n">
        <v>10590</v>
      </c>
      <c r="B824" s="4" t="s">
        <v>341</v>
      </c>
      <c r="C824" s="4" t="s">
        <v>155</v>
      </c>
      <c r="D824" s="4" t="s">
        <v>217</v>
      </c>
      <c r="E824" s="4" t="s">
        <v>142</v>
      </c>
      <c r="F824" s="4" t="n">
        <v>4</v>
      </c>
      <c r="G824" s="4" t="s">
        <v>1367</v>
      </c>
      <c r="H824" s="4" t="s">
        <v>73</v>
      </c>
      <c r="I824" s="4" t="s">
        <v>738</v>
      </c>
      <c r="J824" s="6" t="n">
        <f aca="false">IFERROR(DATEVALUE(B824),"")</f>
        <v>45491</v>
      </c>
      <c r="K824" s="4" t="str">
        <f aca="false">IF(A824="","",PROPER(TRIM(C824)))</f>
        <v>South</v>
      </c>
      <c r="L824" s="4" t="str">
        <f aca="false">IF(A824="","",PROPER(TRIM(D824)))</f>
        <v>Apparel</v>
      </c>
      <c r="M824" s="4" t="n">
        <f aca="false">IFERROR(VALUE(F824),0)</f>
        <v>4</v>
      </c>
      <c r="N824" s="7" t="n">
        <f aca="false">IFERROR(VALUE(SUBSTITUTE(G824,"$","")),0)</f>
        <v>198.07</v>
      </c>
      <c r="O824" s="4" t="n">
        <f aca="false">IF(A824="",0,IF(COUNTIF($A$2:A824,A824)&gt;1,1,0))</f>
        <v>1</v>
      </c>
      <c r="P824" s="4" t="n">
        <f aca="false">IF(AND(A824&lt;&gt;"",J824&lt;&gt;"",M824&gt;0,N824&gt;0,O824=0),1,0)</f>
        <v>0</v>
      </c>
      <c r="Q824" s="7" t="n">
        <f aca="false">IF(P824=1,M824*N824,0)</f>
        <v>0</v>
      </c>
    </row>
  </sheetData>
  <conditionalFormatting sqref="A2:Q824">
    <cfRule type="expression" priority="2" aboveAverage="0" equalAverage="0" bottom="0" percent="0" rank="0" text="" dxfId="0">
      <formula>AND($A2&lt;&gt;"",$P2=0)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2" min="2" style="0" width="16"/>
  </cols>
  <sheetData>
    <row r="2" customFormat="false" ht="22.05" hidden="false" customHeight="false" outlineLevel="0" collapsed="false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15" hidden="false" customHeight="false" outlineLevel="0" collapsed="false">
      <c r="B3" s="9" t="s">
        <v>1828</v>
      </c>
      <c r="C3" s="9"/>
      <c r="D3" s="9"/>
      <c r="E3" s="9"/>
      <c r="F3" s="9"/>
      <c r="G3" s="9"/>
      <c r="H3" s="9"/>
      <c r="I3" s="9"/>
      <c r="J3" s="9"/>
      <c r="K3" s="9"/>
      <c r="L3" s="9"/>
    </row>
    <row r="5" customFormat="false" ht="15" hidden="false" customHeight="false" outlineLevel="0" collapsed="false">
      <c r="B5" s="10" t="s">
        <v>1829</v>
      </c>
      <c r="C5" s="11" t="s">
        <v>1830</v>
      </c>
      <c r="D5" s="10" t="s">
        <v>1831</v>
      </c>
      <c r="E5" s="11" t="s">
        <v>1830</v>
      </c>
      <c r="F5" s="10" t="s">
        <v>32</v>
      </c>
      <c r="G5" s="11" t="s">
        <v>1830</v>
      </c>
      <c r="H5" s="10" t="s">
        <v>1832</v>
      </c>
      <c r="I5" s="12" t="s">
        <v>1333</v>
      </c>
      <c r="J5" s="10" t="s">
        <v>1833</v>
      </c>
      <c r="K5" s="12" t="s">
        <v>1834</v>
      </c>
    </row>
    <row r="7" customFormat="false" ht="15" hidden="false" customHeight="false" outlineLevel="0" collapsed="false">
      <c r="B7" s="13" t="s">
        <v>1835</v>
      </c>
      <c r="C7" s="13"/>
      <c r="D7" s="13"/>
      <c r="E7" s="13" t="s">
        <v>1836</v>
      </c>
      <c r="F7" s="13"/>
      <c r="G7" s="13"/>
      <c r="H7" s="13" t="s">
        <v>1837</v>
      </c>
      <c r="I7" s="13"/>
      <c r="J7" s="13"/>
      <c r="K7" s="13" t="s">
        <v>1838</v>
      </c>
      <c r="L7" s="13"/>
      <c r="M7" s="13"/>
    </row>
    <row r="8" customFormat="false" ht="15" hidden="false" customHeight="false" outlineLevel="0" collapsed="false">
      <c r="B8" s="14" t="n">
        <f aca="false">SUMIFS('Raw Data'!$Q$2:$Q$824,'Raw Data'!$P$2:$P$824,1,'Raw Data'!$J$2:$J$824,"&gt;="&amp;I5,'Raw Data'!$J$2:$J$824,"&lt;="&amp;K5,'Raw Data'!$K$2:$K$824,IF(C5="All","*",C5),'Raw Data'!$L$2:$L$824,IF(E5="All","*",E5),'Raw Data'!$H$2:$H$824,IF(G5="All","*",G5))</f>
        <v>142039.22</v>
      </c>
      <c r="C8" s="14"/>
      <c r="D8" s="14"/>
      <c r="E8" s="15" t="n">
        <f aca="false">COUNTIFS('Raw Data'!$P$2:$P$824,1,'Raw Data'!$J$2:$J$824,"&gt;="&amp;I5,'Raw Data'!$J$2:$J$824,"&lt;="&amp;K5,'Raw Data'!$K$2:$K$824,IF(C5="All","*",C5),'Raw Data'!$L$2:$L$824,IF(E5="All","*",E5),'Raw Data'!$H$2:$H$824,IF(G5="All","*",G5))</f>
        <v>713</v>
      </c>
      <c r="F8" s="15"/>
      <c r="G8" s="15"/>
      <c r="H8" s="15" t="n">
        <f aca="false">SUMIFS('Raw Data'!$M$2:$M$824,'Raw Data'!$P$2:$P$824,1,'Raw Data'!$J$2:$J$824,"&gt;="&amp;I5,'Raw Data'!$J$2:$J$824,"&lt;="&amp;K5,'Raw Data'!$K$2:$K$824,IF(C5="All","*",C5),'Raw Data'!$L$2:$L$824,IF(E5="All","*",E5),'Raw Data'!$H$2:$H$824,IF(G5="All","*",G5))</f>
        <v>1462</v>
      </c>
      <c r="I8" s="15"/>
      <c r="J8" s="15"/>
      <c r="K8" s="16" t="n">
        <f aca="false">IFERROR(B8/E8,0)</f>
        <v>199.213492286115</v>
      </c>
      <c r="L8" s="16"/>
      <c r="M8" s="16"/>
    </row>
    <row r="9" customFormat="false" ht="15" hidden="false" customHeight="false" outlineLevel="0" collapsed="false">
      <c r="B9" s="14"/>
      <c r="C9" s="14"/>
      <c r="D9" s="14"/>
      <c r="E9" s="15"/>
      <c r="F9" s="15"/>
      <c r="G9" s="15"/>
      <c r="H9" s="15"/>
      <c r="I9" s="15"/>
      <c r="J9" s="15"/>
      <c r="K9" s="16"/>
      <c r="L9" s="16"/>
      <c r="M9" s="16"/>
    </row>
    <row r="11" customFormat="false" ht="16.15" hidden="false" customHeight="false" outlineLevel="0" collapsed="false">
      <c r="B11" s="3" t="s">
        <v>1839</v>
      </c>
      <c r="E11" s="3" t="s">
        <v>1840</v>
      </c>
      <c r="H11" s="3" t="s">
        <v>1841</v>
      </c>
      <c r="K11" s="3" t="s">
        <v>1842</v>
      </c>
    </row>
    <row r="12" customFormat="false" ht="15" hidden="false" customHeight="false" outlineLevel="0" collapsed="false">
      <c r="B12" s="5" t="s">
        <v>1829</v>
      </c>
      <c r="C12" s="5" t="s">
        <v>41</v>
      </c>
      <c r="E12" s="5" t="s">
        <v>1831</v>
      </c>
      <c r="F12" s="5" t="s">
        <v>41</v>
      </c>
      <c r="H12" s="5" t="s">
        <v>32</v>
      </c>
      <c r="I12" s="5" t="s">
        <v>41</v>
      </c>
      <c r="K12" s="5" t="s">
        <v>1843</v>
      </c>
      <c r="L12" s="5" t="s">
        <v>41</v>
      </c>
    </row>
    <row r="13" customFormat="false" ht="15" hidden="false" customHeight="false" outlineLevel="0" collapsed="false">
      <c r="B13" s="17" t="s">
        <v>93</v>
      </c>
      <c r="C13" s="18" t="n">
        <f aca="false">SUMIFS('Raw Data'!$Q$2:$Q$824,'Raw Data'!$P$2:$P$824,1,'Raw Data'!$J$2:$J$824,"&gt;="&amp;I5,'Raw Data'!$J$2:$J$824,"&lt;="&amp;K5,'Raw Data'!$K$2:$K$824,B13,'Raw Data'!$L$2:$L$824,IF(E5="All","*",E5),'Raw Data'!$H$2:$H$824,IF(G5="All","*",G5))</f>
        <v>35596.94</v>
      </c>
      <c r="E13" s="17" t="s">
        <v>64</v>
      </c>
      <c r="F13" s="18" t="n">
        <f aca="false">SUMIFS('Raw Data'!$Q$2:$Q$824,'Raw Data'!$P$2:$P$824,1,'Raw Data'!$J$2:$J$824,"&gt;="&amp;I5,'Raw Data'!$J$2:$J$824,"&lt;="&amp;K5,'Raw Data'!$K$2:$K$824,IF(C5="All","*",C5),'Raw Data'!$L$2:$L$824,E13,'Raw Data'!$H$2:$H$824,IF(G5="All","*",G5))</f>
        <v>32759.83</v>
      </c>
      <c r="H13" s="17" t="s">
        <v>47</v>
      </c>
      <c r="I13" s="18" t="n">
        <f aca="false">SUMIFS('Raw Data'!$Q$2:$Q$824,'Raw Data'!$P$2:$P$824,1,'Raw Data'!$J$2:$J$824,"&gt;="&amp;I5,'Raw Data'!$J$2:$J$824,"&lt;="&amp;K5,'Raw Data'!$K$2:$K$824,IF(C5="All","*",C5),'Raw Data'!$L$2:$L$824,IF(E5="All","*",E5),'Raw Data'!$H$2:$H$824,H13)</f>
        <v>49797.45</v>
      </c>
      <c r="K13" s="19" t="s">
        <v>1333</v>
      </c>
      <c r="L13" s="18" t="n">
        <f aca="false">SUMIFS('Raw Data'!$Q$2:$Q$824,'Raw Data'!$P$2:$P$824,1,'Raw Data'!$J$2:$J$824,"&gt;="&amp;K13,'Raw Data'!$J$2:$J$824,"&lt;="&amp;(DATE(YEAR(K13),MONTH(K13)+1,1)-1),'Raw Data'!$J$2:$J$824,"&gt;="&amp;I5,'Raw Data'!$J$2:$J$824,"&lt;="&amp;K5,'Raw Data'!$K$2:$K$824,IF(C5="All","*",C5),'Raw Data'!$L$2:$L$824,IF(E5="All","*",E5),'Raw Data'!$H$2:$H$824,IF(G5="All","*",G5))</f>
        <v>8316.55</v>
      </c>
    </row>
    <row r="14" customFormat="false" ht="15" hidden="false" customHeight="false" outlineLevel="0" collapsed="false">
      <c r="B14" s="17" t="s">
        <v>149</v>
      </c>
      <c r="C14" s="18" t="n">
        <f aca="false">SUMIFS('Raw Data'!$Q$2:$Q$824,'Raw Data'!$P$2:$P$824,1,'Raw Data'!$J$2:$J$824,"&gt;="&amp;I5,'Raw Data'!$J$2:$J$824,"&lt;="&amp;K5,'Raw Data'!$K$2:$K$824,B14,'Raw Data'!$L$2:$L$824,IF(E5="All","*",E5),'Raw Data'!$H$2:$H$824,IF(G5="All","*",G5))</f>
        <v>32611.07</v>
      </c>
      <c r="E14" s="17" t="s">
        <v>217</v>
      </c>
      <c r="F14" s="18" t="n">
        <f aca="false">SUMIFS('Raw Data'!$Q$2:$Q$824,'Raw Data'!$P$2:$P$824,1,'Raw Data'!$J$2:$J$824,"&gt;="&amp;I5,'Raw Data'!$J$2:$J$824,"&lt;="&amp;K5,'Raw Data'!$K$2:$K$824,IF(C5="All","*",C5),'Raw Data'!$L$2:$L$824,E14,'Raw Data'!$H$2:$H$824,IF(G5="All","*",G5))</f>
        <v>29069.74</v>
      </c>
      <c r="H14" s="17" t="s">
        <v>73</v>
      </c>
      <c r="I14" s="18" t="n">
        <f aca="false">SUMIFS('Raw Data'!$Q$2:$Q$824,'Raw Data'!$P$2:$P$824,1,'Raw Data'!$J$2:$J$824,"&gt;="&amp;I5,'Raw Data'!$J$2:$J$824,"&lt;="&amp;K5,'Raw Data'!$K$2:$K$824,IF(C5="All","*",C5),'Raw Data'!$L$2:$L$824,IF(E5="All","*",E5),'Raw Data'!$H$2:$H$824,H14)</f>
        <v>47785.66</v>
      </c>
      <c r="K14" s="19" t="s">
        <v>1844</v>
      </c>
      <c r="L14" s="18" t="n">
        <f aca="false">SUMIFS('Raw Data'!$Q$2:$Q$824,'Raw Data'!$P$2:$P$824,1,'Raw Data'!$J$2:$J$824,"&gt;="&amp;K14,'Raw Data'!$J$2:$J$824,"&lt;="&amp;(DATE(YEAR(K14),MONTH(K14)+1,1)-1),'Raw Data'!$J$2:$J$824,"&gt;="&amp;I5,'Raw Data'!$J$2:$J$824,"&lt;="&amp;K5,'Raw Data'!$K$2:$K$824,IF(C5="All","*",C5),'Raw Data'!$L$2:$L$824,IF(E5="All","*",E5),'Raw Data'!$H$2:$H$824,IF(G5="All","*",G5))</f>
        <v>7572.93</v>
      </c>
    </row>
    <row r="15" customFormat="false" ht="15" hidden="false" customHeight="false" outlineLevel="0" collapsed="false">
      <c r="B15" s="17" t="s">
        <v>50</v>
      </c>
      <c r="C15" s="18" t="n">
        <f aca="false">SUMIFS('Raw Data'!$Q$2:$Q$824,'Raw Data'!$P$2:$P$824,1,'Raw Data'!$J$2:$J$824,"&gt;="&amp;I5,'Raw Data'!$J$2:$J$824,"&lt;="&amp;K5,'Raw Data'!$K$2:$K$824,B15,'Raw Data'!$L$2:$L$824,IF(E5="All","*",E5),'Raw Data'!$H$2:$H$824,IF(G5="All","*",G5))</f>
        <v>36181.53</v>
      </c>
      <c r="E15" s="17" t="s">
        <v>387</v>
      </c>
      <c r="F15" s="18" t="n">
        <f aca="false">SUMIFS('Raw Data'!$Q$2:$Q$824,'Raw Data'!$P$2:$P$824,1,'Raw Data'!$J$2:$J$824,"&gt;="&amp;I5,'Raw Data'!$J$2:$J$824,"&lt;="&amp;K5,'Raw Data'!$K$2:$K$824,IF(C5="All","*",C5),'Raw Data'!$L$2:$L$824,E15,'Raw Data'!$H$2:$H$824,IF(G5="All","*",G5))</f>
        <v>39637.01</v>
      </c>
      <c r="H15" s="17" t="s">
        <v>54</v>
      </c>
      <c r="I15" s="18" t="n">
        <f aca="false">SUMIFS('Raw Data'!$Q$2:$Q$824,'Raw Data'!$P$2:$P$824,1,'Raw Data'!$J$2:$J$824,"&gt;="&amp;I5,'Raw Data'!$J$2:$J$824,"&lt;="&amp;K5,'Raw Data'!$K$2:$K$824,IF(C5="All","*",C5),'Raw Data'!$L$2:$L$824,IF(E5="All","*",E5),'Raw Data'!$H$2:$H$824,H15)</f>
        <v>44456.11</v>
      </c>
      <c r="K15" s="19" t="s">
        <v>1845</v>
      </c>
      <c r="L15" s="18" t="n">
        <f aca="false">SUMIFS('Raw Data'!$Q$2:$Q$824,'Raw Data'!$P$2:$P$824,1,'Raw Data'!$J$2:$J$824,"&gt;="&amp;K15,'Raw Data'!$J$2:$J$824,"&lt;="&amp;(DATE(YEAR(K15),MONTH(K15)+1,1)-1),'Raw Data'!$J$2:$J$824,"&gt;="&amp;I5,'Raw Data'!$J$2:$J$824,"&lt;="&amp;K5,'Raw Data'!$K$2:$K$824,IF(C5="All","*",C5),'Raw Data'!$L$2:$L$824,IF(E5="All","*",E5),'Raw Data'!$H$2:$H$824,IF(G5="All","*",G5))</f>
        <v>9528.23</v>
      </c>
    </row>
    <row r="16" customFormat="false" ht="15" hidden="false" customHeight="false" outlineLevel="0" collapsed="false">
      <c r="B16" s="17" t="s">
        <v>155</v>
      </c>
      <c r="C16" s="18" t="n">
        <f aca="false">SUMIFS('Raw Data'!$Q$2:$Q$824,'Raw Data'!$P$2:$P$824,1,'Raw Data'!$J$2:$J$824,"&gt;="&amp;I5,'Raw Data'!$J$2:$J$824,"&lt;="&amp;K5,'Raw Data'!$K$2:$K$824,B16,'Raw Data'!$L$2:$L$824,IF(E5="All","*",E5),'Raw Data'!$H$2:$H$824,IF(G5="All","*",G5))</f>
        <v>37649.68</v>
      </c>
      <c r="E16" s="17" t="s">
        <v>58</v>
      </c>
      <c r="F16" s="18" t="n">
        <f aca="false">SUMIFS('Raw Data'!$Q$2:$Q$824,'Raw Data'!$P$2:$P$824,1,'Raw Data'!$J$2:$J$824,"&gt;="&amp;I5,'Raw Data'!$J$2:$J$824,"&lt;="&amp;K5,'Raw Data'!$K$2:$K$824,IF(C5="All","*",C5),'Raw Data'!$L$2:$L$824,E16,'Raw Data'!$H$2:$H$824,IF(G5="All","*",G5))</f>
        <v>27925.06</v>
      </c>
      <c r="H16" s="20"/>
      <c r="I16" s="20"/>
      <c r="K16" s="19" t="s">
        <v>1846</v>
      </c>
      <c r="L16" s="18" t="n">
        <f aca="false">SUMIFS('Raw Data'!$Q$2:$Q$824,'Raw Data'!$P$2:$P$824,1,'Raw Data'!$J$2:$J$824,"&gt;="&amp;K16,'Raw Data'!$J$2:$J$824,"&lt;="&amp;(DATE(YEAR(K16),MONTH(K16)+1,1)-1),'Raw Data'!$J$2:$J$824,"&gt;="&amp;I5,'Raw Data'!$J$2:$J$824,"&lt;="&amp;K5,'Raw Data'!$K$2:$K$824,IF(C5="All","*",C5),'Raw Data'!$L$2:$L$824,IF(E5="All","*",E5),'Raw Data'!$H$2:$H$824,IF(G5="All","*",G5))</f>
        <v>8812.67</v>
      </c>
    </row>
    <row r="17" customFormat="false" ht="15" hidden="false" customHeight="false" outlineLevel="0" collapsed="false">
      <c r="B17" s="20"/>
      <c r="C17" s="20"/>
      <c r="E17" s="17" t="s">
        <v>101</v>
      </c>
      <c r="F17" s="18" t="n">
        <f aca="false">SUMIFS('Raw Data'!$Q$2:$Q$824,'Raw Data'!$P$2:$P$824,1,'Raw Data'!$J$2:$J$824,"&gt;="&amp;I5,'Raw Data'!$J$2:$J$824,"&lt;="&amp;K5,'Raw Data'!$K$2:$K$824,IF(C5="All","*",C5),'Raw Data'!$L$2:$L$824,E17,'Raw Data'!$H$2:$H$824,IF(G5="All","*",G5))</f>
        <v>12647.58</v>
      </c>
      <c r="H17" s="20"/>
      <c r="I17" s="20"/>
      <c r="K17" s="19" t="s">
        <v>1847</v>
      </c>
      <c r="L17" s="18" t="n">
        <f aca="false">SUMIFS('Raw Data'!$Q$2:$Q$824,'Raw Data'!$P$2:$P$824,1,'Raw Data'!$J$2:$J$824,"&gt;="&amp;K17,'Raw Data'!$J$2:$J$824,"&lt;="&amp;(DATE(YEAR(K17),MONTH(K17)+1,1)-1),'Raw Data'!$J$2:$J$824,"&gt;="&amp;I5,'Raw Data'!$J$2:$J$824,"&lt;="&amp;K5,'Raw Data'!$K$2:$K$824,IF(C5="All","*",C5),'Raw Data'!$L$2:$L$824,IF(E5="All","*",E5),'Raw Data'!$H$2:$H$824,IF(G5="All","*",G5))</f>
        <v>9403.72</v>
      </c>
    </row>
    <row r="18" customFormat="false" ht="15" hidden="false" customHeight="false" outlineLevel="0" collapsed="false">
      <c r="B18" s="20"/>
      <c r="C18" s="20"/>
      <c r="E18" s="20"/>
      <c r="F18" s="20"/>
      <c r="H18" s="20"/>
      <c r="I18" s="20"/>
      <c r="K18" s="19" t="s">
        <v>676</v>
      </c>
      <c r="L18" s="18" t="n">
        <f aca="false">SUMIFS('Raw Data'!$Q$2:$Q$824,'Raw Data'!$P$2:$P$824,1,'Raw Data'!$J$2:$J$824,"&gt;="&amp;K18,'Raw Data'!$J$2:$J$824,"&lt;="&amp;(DATE(YEAR(K18),MONTH(K18)+1,1)-1),'Raw Data'!$J$2:$J$824,"&gt;="&amp;I5,'Raw Data'!$J$2:$J$824,"&lt;="&amp;K5,'Raw Data'!$K$2:$K$824,IF(C5="All","*",C5),'Raw Data'!$L$2:$L$824,IF(E5="All","*",E5),'Raw Data'!$H$2:$H$824,IF(G5="All","*",G5))</f>
        <v>10121.41</v>
      </c>
    </row>
    <row r="19" customFormat="false" ht="15" hidden="false" customHeight="false" outlineLevel="0" collapsed="false">
      <c r="B19" s="20"/>
      <c r="C19" s="20"/>
      <c r="E19" s="20"/>
      <c r="F19" s="20"/>
      <c r="H19" s="20"/>
      <c r="I19" s="20"/>
      <c r="K19" s="19" t="s">
        <v>62</v>
      </c>
      <c r="L19" s="18" t="n">
        <f aca="false">SUMIFS('Raw Data'!$Q$2:$Q$824,'Raw Data'!$P$2:$P$824,1,'Raw Data'!$J$2:$J$824,"&gt;="&amp;K19,'Raw Data'!$J$2:$J$824,"&lt;="&amp;(DATE(YEAR(K19),MONTH(K19)+1,1)-1),'Raw Data'!$J$2:$J$824,"&gt;="&amp;I5,'Raw Data'!$J$2:$J$824,"&lt;="&amp;K5,'Raw Data'!$K$2:$K$824,IF(C5="All","*",C5),'Raw Data'!$L$2:$L$824,IF(E5="All","*",E5),'Raw Data'!$H$2:$H$824,IF(G5="All","*",G5))</f>
        <v>10863.94</v>
      </c>
    </row>
    <row r="20" customFormat="false" ht="15" hidden="false" customHeight="false" outlineLevel="0" collapsed="false">
      <c r="B20" s="20"/>
      <c r="C20" s="20"/>
      <c r="E20" s="20"/>
      <c r="F20" s="20"/>
      <c r="H20" s="20"/>
      <c r="I20" s="20"/>
      <c r="K20" s="19" t="s">
        <v>1848</v>
      </c>
      <c r="L20" s="18" t="n">
        <f aca="false">SUMIFS('Raw Data'!$Q$2:$Q$824,'Raw Data'!$P$2:$P$824,1,'Raw Data'!$J$2:$J$824,"&gt;="&amp;K20,'Raw Data'!$J$2:$J$824,"&lt;="&amp;(DATE(YEAR(K20),MONTH(K20)+1,1)-1),'Raw Data'!$J$2:$J$824,"&gt;="&amp;I5,'Raw Data'!$J$2:$J$824,"&lt;="&amp;K5,'Raw Data'!$K$2:$K$824,IF(C5="All","*",C5),'Raw Data'!$L$2:$L$824,IF(E5="All","*",E5),'Raw Data'!$H$2:$H$824,IF(G5="All","*",G5))</f>
        <v>7413.37</v>
      </c>
    </row>
    <row r="21" customFormat="false" ht="15" hidden="false" customHeight="false" outlineLevel="0" collapsed="false">
      <c r="B21" s="20"/>
      <c r="C21" s="20"/>
      <c r="E21" s="20"/>
      <c r="F21" s="20"/>
      <c r="H21" s="20"/>
      <c r="I21" s="20"/>
      <c r="K21" s="19" t="s">
        <v>1628</v>
      </c>
      <c r="L21" s="18" t="n">
        <f aca="false">SUMIFS('Raw Data'!$Q$2:$Q$824,'Raw Data'!$P$2:$P$824,1,'Raw Data'!$J$2:$J$824,"&gt;="&amp;K21,'Raw Data'!$J$2:$J$824,"&lt;="&amp;(DATE(YEAR(K21),MONTH(K21)+1,1)-1),'Raw Data'!$J$2:$J$824,"&gt;="&amp;I5,'Raw Data'!$J$2:$J$824,"&lt;="&amp;K5,'Raw Data'!$K$2:$K$824,IF(C5="All","*",C5),'Raw Data'!$L$2:$L$824,IF(E5="All","*",E5),'Raw Data'!$H$2:$H$824,IF(G5="All","*",G5))</f>
        <v>6368.09</v>
      </c>
    </row>
    <row r="22" customFormat="false" ht="15" hidden="false" customHeight="false" outlineLevel="0" collapsed="false">
      <c r="B22" s="20"/>
      <c r="C22" s="20"/>
      <c r="E22" s="20"/>
      <c r="F22" s="20"/>
      <c r="H22" s="20"/>
      <c r="I22" s="20"/>
      <c r="K22" s="19" t="s">
        <v>1849</v>
      </c>
      <c r="L22" s="18" t="n">
        <f aca="false">SUMIFS('Raw Data'!$Q$2:$Q$824,'Raw Data'!$P$2:$P$824,1,'Raw Data'!$J$2:$J$824,"&gt;="&amp;K22,'Raw Data'!$J$2:$J$824,"&lt;="&amp;(DATE(YEAR(K22),MONTH(K22)+1,1)-1),'Raw Data'!$J$2:$J$824,"&gt;="&amp;I5,'Raw Data'!$J$2:$J$824,"&lt;="&amp;K5,'Raw Data'!$K$2:$K$824,IF(C5="All","*",C5),'Raw Data'!$L$2:$L$824,IF(E5="All","*",E5),'Raw Data'!$H$2:$H$824,IF(G5="All","*",G5))</f>
        <v>7415.74</v>
      </c>
    </row>
    <row r="23" customFormat="false" ht="15" hidden="false" customHeight="false" outlineLevel="0" collapsed="false">
      <c r="B23" s="20"/>
      <c r="C23" s="20"/>
      <c r="E23" s="20"/>
      <c r="F23" s="20"/>
      <c r="H23" s="20"/>
      <c r="I23" s="20"/>
      <c r="K23" s="19" t="s">
        <v>1850</v>
      </c>
      <c r="L23" s="18" t="n">
        <f aca="false">SUMIFS('Raw Data'!$Q$2:$Q$824,'Raw Data'!$P$2:$P$824,1,'Raw Data'!$J$2:$J$824,"&gt;="&amp;K23,'Raw Data'!$J$2:$J$824,"&lt;="&amp;(DATE(YEAR(K23),MONTH(K23)+1,1)-1),'Raw Data'!$J$2:$J$824,"&gt;="&amp;I5,'Raw Data'!$J$2:$J$824,"&lt;="&amp;K5,'Raw Data'!$K$2:$K$824,IF(C5="All","*",C5),'Raw Data'!$L$2:$L$824,IF(E5="All","*",E5),'Raw Data'!$H$2:$H$824,IF(G5="All","*",G5))</f>
        <v>7524.82</v>
      </c>
    </row>
    <row r="24" customFormat="false" ht="15" hidden="false" customHeight="false" outlineLevel="0" collapsed="false">
      <c r="B24" s="20"/>
      <c r="C24" s="20"/>
      <c r="E24" s="20"/>
      <c r="F24" s="20"/>
      <c r="H24" s="20"/>
      <c r="I24" s="20"/>
      <c r="K24" s="19" t="s">
        <v>1299</v>
      </c>
      <c r="L24" s="18" t="n">
        <f aca="false">SUMIFS('Raw Data'!$Q$2:$Q$824,'Raw Data'!$P$2:$P$824,1,'Raw Data'!$J$2:$J$824,"&gt;="&amp;K24,'Raw Data'!$J$2:$J$824,"&lt;="&amp;(DATE(YEAR(K24),MONTH(K24)+1,1)-1),'Raw Data'!$J$2:$J$824,"&gt;="&amp;I5,'Raw Data'!$J$2:$J$824,"&lt;="&amp;K5,'Raw Data'!$K$2:$K$824,IF(C5="All","*",C5),'Raw Data'!$L$2:$L$824,IF(E5="All","*",E5),'Raw Data'!$H$2:$H$824,IF(G5="All","*",G5))</f>
        <v>6339.03</v>
      </c>
    </row>
    <row r="25" customFormat="false" ht="15" hidden="false" customHeight="false" outlineLevel="0" collapsed="false">
      <c r="B25" s="20"/>
      <c r="C25" s="20"/>
      <c r="E25" s="20"/>
      <c r="F25" s="20"/>
      <c r="H25" s="20"/>
      <c r="I25" s="20"/>
      <c r="K25" s="19" t="s">
        <v>1851</v>
      </c>
      <c r="L25" s="18" t="n">
        <f aca="false">SUMIFS('Raw Data'!$Q$2:$Q$824,'Raw Data'!$P$2:$P$824,1,'Raw Data'!$J$2:$J$824,"&gt;="&amp;K25,'Raw Data'!$J$2:$J$824,"&lt;="&amp;(DATE(YEAR(K25),MONTH(K25)+1,1)-1),'Raw Data'!$J$2:$J$824,"&gt;="&amp;I5,'Raw Data'!$J$2:$J$824,"&lt;="&amp;K5,'Raw Data'!$K$2:$K$824,IF(C5="All","*",C5),'Raw Data'!$L$2:$L$824,IF(E5="All","*",E5),'Raw Data'!$H$2:$H$824,IF(G5="All","*",G5))</f>
        <v>7530.51</v>
      </c>
    </row>
    <row r="26" customFormat="false" ht="15" hidden="false" customHeight="false" outlineLevel="0" collapsed="false">
      <c r="B26" s="20"/>
      <c r="C26" s="20"/>
      <c r="E26" s="20"/>
      <c r="F26" s="20"/>
      <c r="H26" s="20"/>
      <c r="I26" s="20"/>
      <c r="K26" s="19" t="s">
        <v>1852</v>
      </c>
      <c r="L26" s="18" t="n">
        <f aca="false">SUMIFS('Raw Data'!$Q$2:$Q$824,'Raw Data'!$P$2:$P$824,1,'Raw Data'!$J$2:$J$824,"&gt;="&amp;K26,'Raw Data'!$J$2:$J$824,"&lt;="&amp;(DATE(YEAR(K26),MONTH(K26)+1,1)-1),'Raw Data'!$J$2:$J$824,"&gt;="&amp;I5,'Raw Data'!$J$2:$J$824,"&lt;="&amp;K5,'Raw Data'!$K$2:$K$824,IF(C5="All","*",C5),'Raw Data'!$L$2:$L$824,IF(E5="All","*",E5),'Raw Data'!$H$2:$H$824,IF(G5="All","*",G5))</f>
        <v>5615.96</v>
      </c>
    </row>
    <row r="27" customFormat="false" ht="15" hidden="false" customHeight="false" outlineLevel="0" collapsed="false">
      <c r="B27" s="20"/>
      <c r="C27" s="20"/>
      <c r="E27" s="20"/>
      <c r="F27" s="20"/>
      <c r="H27" s="20"/>
      <c r="I27" s="20"/>
      <c r="K27" s="19" t="s">
        <v>1853</v>
      </c>
      <c r="L27" s="18" t="n">
        <f aca="false">SUMIFS('Raw Data'!$Q$2:$Q$824,'Raw Data'!$P$2:$P$824,1,'Raw Data'!$J$2:$J$824,"&gt;="&amp;K27,'Raw Data'!$J$2:$J$824,"&lt;="&amp;(DATE(YEAR(K27),MONTH(K27)+1,1)-1),'Raw Data'!$J$2:$J$824,"&gt;="&amp;I5,'Raw Data'!$J$2:$J$824,"&lt;="&amp;K5,'Raw Data'!$K$2:$K$824,IF(C5="All","*",C5),'Raw Data'!$L$2:$L$824,IF(E5="All","*",E5),'Raw Data'!$H$2:$H$824,IF(G5="All","*",G5))</f>
        <v>5660.67</v>
      </c>
    </row>
    <row r="28" customFormat="false" ht="15" hidden="false" customHeight="false" outlineLevel="0" collapsed="false">
      <c r="B28" s="20"/>
      <c r="C28" s="20"/>
      <c r="E28" s="20"/>
      <c r="F28" s="20"/>
      <c r="H28" s="20"/>
      <c r="I28" s="20"/>
      <c r="K28" s="19" t="s">
        <v>1169</v>
      </c>
      <c r="L28" s="18" t="n">
        <f aca="false">SUMIFS('Raw Data'!$Q$2:$Q$824,'Raw Data'!$P$2:$P$824,1,'Raw Data'!$J$2:$J$824,"&gt;="&amp;K28,'Raw Data'!$J$2:$J$824,"&lt;="&amp;(DATE(YEAR(K28),MONTH(K28)+1,1)-1),'Raw Data'!$J$2:$J$824,"&gt;="&amp;I5,'Raw Data'!$J$2:$J$824,"&lt;="&amp;K5,'Raw Data'!$K$2:$K$824,IF(C5="All","*",C5),'Raw Data'!$L$2:$L$824,IF(E5="All","*",E5),'Raw Data'!$H$2:$H$824,IF(G5="All","*",G5))</f>
        <v>8669.39</v>
      </c>
    </row>
    <row r="29" customFormat="false" ht="15" hidden="false" customHeight="false" outlineLevel="0" collapsed="false">
      <c r="B29" s="20"/>
      <c r="C29" s="20"/>
      <c r="E29" s="20"/>
      <c r="F29" s="20"/>
      <c r="H29" s="20"/>
      <c r="I29" s="20"/>
      <c r="K29" s="19" t="s">
        <v>1233</v>
      </c>
      <c r="L29" s="18" t="n">
        <f aca="false">SUMIFS('Raw Data'!$Q$2:$Q$824,'Raw Data'!$P$2:$P$824,1,'Raw Data'!$J$2:$J$824,"&gt;="&amp;K29,'Raw Data'!$J$2:$J$824,"&lt;="&amp;(DATE(YEAR(K29),MONTH(K29)+1,1)-1),'Raw Data'!$J$2:$J$824,"&gt;="&amp;I5,'Raw Data'!$J$2:$J$824,"&lt;="&amp;K5,'Raw Data'!$K$2:$K$824,IF(C5="All","*",C5),'Raw Data'!$L$2:$L$824,IF(E5="All","*",E5),'Raw Data'!$H$2:$H$824,IF(G5="All","*",G5))</f>
        <v>7287.48</v>
      </c>
    </row>
    <row r="30" customFormat="false" ht="15" hidden="false" customHeight="false" outlineLevel="0" collapsed="false">
      <c r="B30" s="20"/>
      <c r="C30" s="20"/>
      <c r="E30" s="20"/>
      <c r="F30" s="20"/>
      <c r="H30" s="20"/>
      <c r="I30" s="20"/>
      <c r="K30" s="19" t="s">
        <v>1854</v>
      </c>
      <c r="L30" s="18" t="n">
        <f aca="false">SUMIFS('Raw Data'!$Q$2:$Q$824,'Raw Data'!$P$2:$P$824,1,'Raw Data'!$J$2:$J$824,"&gt;="&amp;K30,'Raw Data'!$J$2:$J$824,"&lt;="&amp;(DATE(YEAR(K30),MONTH(K30)+1,1)-1),'Raw Data'!$J$2:$J$824,"&gt;="&amp;I5,'Raw Data'!$J$2:$J$824,"&lt;="&amp;K5,'Raw Data'!$K$2:$K$824,IF(C5="All","*",C5),'Raw Data'!$L$2:$L$824,IF(E5="All","*",E5),'Raw Data'!$H$2:$H$824,IF(G5="All","*",G5))</f>
        <v>7594.71</v>
      </c>
    </row>
  </sheetData>
  <mergeCells count="10">
    <mergeCell ref="B2:L2"/>
    <mergeCell ref="B3:L3"/>
    <mergeCell ref="B7:D7"/>
    <mergeCell ref="E7:G7"/>
    <mergeCell ref="H7:J7"/>
    <mergeCell ref="K7:M7"/>
    <mergeCell ref="B8:D9"/>
    <mergeCell ref="E8:G9"/>
    <mergeCell ref="H8:J9"/>
    <mergeCell ref="K8:M9"/>
  </mergeCells>
  <dataValidations count="3">
    <dataValidation allowBlank="false" errorStyle="stop" operator="between" showDropDown="false" showErrorMessage="false" showInputMessage="false" sqref="C5" type="list">
      <formula1>"All,West,East,Midwest,South"</formula1>
      <formula2>0</formula2>
    </dataValidation>
    <dataValidation allowBlank="false" errorStyle="stop" operator="between" showDropDown="false" showErrorMessage="false" showInputMessage="false" sqref="E5" type="list">
      <formula1>"All,Footwear,Apparel,Camping Gear,Climbing Gear,Accessories"</formula1>
      <formula2>0</formula2>
    </dataValidation>
    <dataValidation allowBlank="false" errorStyle="stop" operator="between" showDropDown="false" showErrorMessage="false" showInputMessage="false" sqref="G5" type="list">
      <formula1>"All,Online,In-Store,Wholesale"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55"/>
  </cols>
  <sheetData>
    <row r="2" customFormat="false" ht="22.05" hidden="false" customHeight="false" outlineLevel="0" collapsed="false">
      <c r="B2" s="1" t="s">
        <v>1855</v>
      </c>
    </row>
    <row r="3" customFormat="false" ht="15" hidden="false" customHeight="false" outlineLevel="0" collapsed="false">
      <c r="B3" s="2" t="s">
        <v>1856</v>
      </c>
    </row>
    <row r="5" customFormat="false" ht="15" hidden="false" customHeight="false" outlineLevel="0" collapsed="false">
      <c r="B5" s="5" t="s">
        <v>1857</v>
      </c>
      <c r="C5" s="5" t="s">
        <v>1858</v>
      </c>
      <c r="D5" s="5" t="s">
        <v>1859</v>
      </c>
    </row>
    <row r="6" customFormat="false" ht="15" hidden="false" customHeight="false" outlineLevel="0" collapsed="false">
      <c r="B6" s="17" t="s">
        <v>1860</v>
      </c>
      <c r="C6" s="21" t="n">
        <f aca="false">COUNTA('Raw Data'!$A$2:$A$824)+COUNTBLANK('Raw Data'!$A$2:$A$824)</f>
        <v>823</v>
      </c>
      <c r="D6" s="17" t="s">
        <v>1861</v>
      </c>
    </row>
    <row r="7" customFormat="false" ht="15" hidden="false" customHeight="false" outlineLevel="0" collapsed="false">
      <c r="B7" s="17" t="s">
        <v>1862</v>
      </c>
      <c r="C7" s="21" t="n">
        <f aca="false">COUNTBLANK('Raw Data'!$A$2:$A$824)</f>
        <v>8</v>
      </c>
      <c r="D7" s="17" t="s">
        <v>1863</v>
      </c>
    </row>
    <row r="8" customFormat="false" ht="15" hidden="false" customHeight="false" outlineLevel="0" collapsed="false">
      <c r="B8" s="17" t="s">
        <v>1864</v>
      </c>
      <c r="C8" s="21" t="n">
        <f aca="false">SUM('Raw Data'!$O$2:$O$824)</f>
        <v>35</v>
      </c>
      <c r="D8" s="17" t="s">
        <v>1865</v>
      </c>
    </row>
    <row r="9" customFormat="false" ht="15" hidden="false" customHeight="false" outlineLevel="0" collapsed="false">
      <c r="B9" s="17" t="s">
        <v>1866</v>
      </c>
      <c r="C9" s="21" t="n">
        <f aca="false">SUMPRODUCT(('Raw Data'!$A$2:$A$824&lt;&gt;"")*('Raw Data'!$J$2:$J$824=""))</f>
        <v>32</v>
      </c>
      <c r="D9" s="17" t="s">
        <v>1867</v>
      </c>
    </row>
    <row r="10" customFormat="false" ht="15" hidden="false" customHeight="false" outlineLevel="0" collapsed="false">
      <c r="B10" s="17" t="s">
        <v>1868</v>
      </c>
      <c r="C10" s="21" t="n">
        <f aca="false">SUMPRODUCT(('Raw Data'!$A$2:$A$824&lt;&gt;"")*('Raw Data'!$M$2:$M$824&lt;=0))</f>
        <v>20</v>
      </c>
      <c r="D10" s="17" t="s">
        <v>1869</v>
      </c>
    </row>
    <row r="11" customFormat="false" ht="15" hidden="false" customHeight="false" outlineLevel="0" collapsed="false">
      <c r="B11" s="17" t="s">
        <v>1870</v>
      </c>
      <c r="C11" s="21" t="n">
        <f aca="false">SUMPRODUCT(('Raw Data'!$A$2:$A$824&lt;&gt;"")*('Raw Data'!$N$2:$N$824&lt;=0))</f>
        <v>16</v>
      </c>
      <c r="D11" s="17" t="s">
        <v>1871</v>
      </c>
    </row>
    <row r="12" customFormat="false" ht="15" hidden="false" customHeight="false" outlineLevel="0" collapsed="false">
      <c r="B12" s="17" t="s">
        <v>1872</v>
      </c>
      <c r="C12" s="21" t="n">
        <f aca="false">SUMPRODUCT(('Raw Data'!$C$2:$C$824&lt;&gt;PROPER(TRIM('Raw Data'!$C$2:$C$824)))*('Raw Data'!$A$2:$A$824&lt;&gt;""))</f>
        <v>240</v>
      </c>
      <c r="D12" s="17" t="s">
        <v>1873</v>
      </c>
    </row>
    <row r="13" customFormat="false" ht="15" hidden="false" customHeight="false" outlineLevel="0" collapsed="false">
      <c r="B13" s="17" t="s">
        <v>1874</v>
      </c>
      <c r="C13" s="21" t="n">
        <f aca="false">SUM('Raw Data'!$P$2:$P$824)</f>
        <v>713</v>
      </c>
      <c r="D13" s="17" t="s">
        <v>1875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2026-07-27T20:16:37Z</dcterms:created>
  <dc:creator>openpyxl</dc:creator>
  <dc:description/>
  <dc:language>en-US</dc:language>
  <cp:lastModifiedBy/>
  <dcterms:modified xsi:type="dcterms:W3CDTF">2026-07-27T20:16:45Z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